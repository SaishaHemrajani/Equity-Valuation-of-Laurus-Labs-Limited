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ish\Desktop\Dalmia\Corp Val\Project\"/>
    </mc:Choice>
  </mc:AlternateContent>
  <xr:revisionPtr revIDLastSave="0" documentId="13_ncr:1_{ABF461BC-F5B0-4808-851A-8C18C6CDBD3A}" xr6:coauthVersionLast="47" xr6:coauthVersionMax="47" xr10:uidLastSave="{00000000-0000-0000-0000-000000000000}"/>
  <bookViews>
    <workbookView xWindow="-110" yWindow="-110" windowWidth="19420" windowHeight="10300" tabRatio="914" activeTab="1" xr2:uid="{00000000-000D-0000-FFFF-FFFF00000000}"/>
  </bookViews>
  <sheets>
    <sheet name="Actuals" sheetId="1" r:id="rId1"/>
    <sheet name="Assumptions" sheetId="2" r:id="rId2"/>
    <sheet name="Cost of Capital" sheetId="3" r:id="rId3"/>
    <sheet name="Forecast 1 (Growth-Margin)" sheetId="4" r:id="rId4"/>
    <sheet name="Forecast 2 (Segment-based)" sheetId="5" r:id="rId5"/>
    <sheet name="DCF-FCFF" sheetId="6" r:id="rId6"/>
    <sheet name="Economic Profit" sheetId="7" r:id="rId7"/>
    <sheet name="Relative Valuation" sheetId="8" r:id="rId8"/>
    <sheet name="Football Fiel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9" l="1"/>
  <c r="B14" i="9" s="1"/>
  <c r="C8" i="6"/>
  <c r="B7" i="2"/>
  <c r="E11" i="8" l="1"/>
  <c r="O42" i="1"/>
  <c r="E13" i="8"/>
  <c r="C13" i="8"/>
  <c r="B9" i="9"/>
  <c r="B18" i="8"/>
  <c r="B17" i="8"/>
  <c r="B15" i="8"/>
  <c r="B14" i="8"/>
  <c r="B21" i="8"/>
  <c r="B23" i="8" s="1"/>
  <c r="C12" i="5"/>
  <c r="B11" i="8" l="1"/>
  <c r="B22" i="8"/>
  <c r="B24" i="8"/>
  <c r="B37" i="1" l="1"/>
  <c r="C37" i="1"/>
  <c r="D37" i="1"/>
  <c r="E37" i="1"/>
  <c r="B36" i="1"/>
  <c r="C36" i="1"/>
  <c r="D36" i="1"/>
  <c r="E36" i="1"/>
  <c r="B35" i="1"/>
  <c r="C35" i="1"/>
  <c r="D35" i="1"/>
  <c r="E35" i="1"/>
  <c r="B34" i="1"/>
  <c r="C34" i="1"/>
  <c r="D34" i="1"/>
  <c r="E34" i="1"/>
  <c r="B33" i="1"/>
  <c r="C33" i="1"/>
  <c r="D33" i="1"/>
  <c r="E33" i="1"/>
  <c r="C55" i="2" l="1"/>
  <c r="D55" i="2"/>
  <c r="B55" i="2"/>
  <c r="C49" i="2"/>
  <c r="D49" i="2"/>
  <c r="B49" i="2"/>
  <c r="E48" i="2"/>
  <c r="C46" i="2"/>
  <c r="D46" i="2"/>
  <c r="B46" i="2"/>
  <c r="C45" i="2"/>
  <c r="D45" i="2"/>
  <c r="B45" i="2"/>
  <c r="C44" i="2"/>
  <c r="D44" i="2"/>
  <c r="B44" i="2"/>
  <c r="C62" i="5" l="1"/>
  <c r="D62" i="5"/>
  <c r="E62" i="5"/>
  <c r="F62" i="5"/>
  <c r="G62" i="5"/>
  <c r="B34" i="7"/>
  <c r="B24" i="6"/>
  <c r="D57" i="2"/>
  <c r="D58" i="2"/>
  <c r="D59" i="2"/>
  <c r="D56" i="2"/>
  <c r="D51" i="2"/>
  <c r="D52" i="2"/>
  <c r="D53" i="2"/>
  <c r="D54" i="2"/>
  <c r="D50" i="2"/>
  <c r="D48" i="2"/>
  <c r="D37" i="2"/>
  <c r="D38" i="2"/>
  <c r="D39" i="2"/>
  <c r="D40" i="2"/>
  <c r="D41" i="2"/>
  <c r="D42" i="2"/>
  <c r="D43" i="2"/>
  <c r="D36" i="2"/>
  <c r="C57" i="2"/>
  <c r="C58" i="2"/>
  <c r="C59" i="2"/>
  <c r="C56" i="2"/>
  <c r="C51" i="2"/>
  <c r="C52" i="2"/>
  <c r="C53" i="2"/>
  <c r="C54" i="2"/>
  <c r="C50" i="2"/>
  <c r="C48" i="2"/>
  <c r="C37" i="2"/>
  <c r="C38" i="2"/>
  <c r="C39" i="2"/>
  <c r="C40" i="2"/>
  <c r="C41" i="2"/>
  <c r="C42" i="2"/>
  <c r="C43" i="2"/>
  <c r="C36" i="2"/>
  <c r="C47" i="2"/>
  <c r="C72" i="5"/>
  <c r="C60" i="4"/>
  <c r="D72" i="5"/>
  <c r="E72" i="5"/>
  <c r="D60" i="4"/>
  <c r="E60" i="4"/>
  <c r="F60" i="4"/>
  <c r="G60" i="4"/>
  <c r="F48" i="2"/>
  <c r="G48" i="2"/>
  <c r="H48" i="2"/>
  <c r="F72" i="5" s="1"/>
  <c r="I48" i="2"/>
  <c r="G72" i="5" s="1"/>
  <c r="B57" i="2"/>
  <c r="B58" i="2"/>
  <c r="B59" i="2"/>
  <c r="B56" i="2"/>
  <c r="B51" i="2"/>
  <c r="B52" i="2"/>
  <c r="B53" i="2"/>
  <c r="B54" i="2"/>
  <c r="B50" i="2"/>
  <c r="B48" i="2"/>
  <c r="B37" i="2"/>
  <c r="B38" i="2"/>
  <c r="B39" i="2"/>
  <c r="B40" i="2"/>
  <c r="B41" i="2"/>
  <c r="B42" i="2"/>
  <c r="B43" i="2"/>
  <c r="B47" i="2"/>
  <c r="B36" i="2"/>
  <c r="B35" i="2"/>
  <c r="B31" i="8"/>
  <c r="D13" i="8"/>
  <c r="B13" i="8"/>
  <c r="B48" i="6"/>
  <c r="G31" i="6"/>
  <c r="F31" i="6"/>
  <c r="E31" i="6"/>
  <c r="D31" i="6"/>
  <c r="C31" i="6"/>
  <c r="K13" i="6"/>
  <c r="K11" i="6"/>
  <c r="K10" i="6"/>
  <c r="K9" i="6"/>
  <c r="K7" i="6"/>
  <c r="G7" i="6"/>
  <c r="F7" i="6"/>
  <c r="E7" i="6"/>
  <c r="D7" i="6"/>
  <c r="C7" i="6"/>
  <c r="K6" i="6"/>
  <c r="K5" i="6"/>
  <c r="K4" i="6"/>
  <c r="B89" i="5"/>
  <c r="B88" i="5"/>
  <c r="B87" i="5"/>
  <c r="B86" i="5"/>
  <c r="B85" i="5"/>
  <c r="B84" i="5"/>
  <c r="B83" i="5"/>
  <c r="B80" i="5"/>
  <c r="B79" i="5"/>
  <c r="B78" i="5"/>
  <c r="B77" i="5"/>
  <c r="B76" i="5"/>
  <c r="G75" i="5"/>
  <c r="F75" i="5"/>
  <c r="E75" i="5"/>
  <c r="D75" i="5"/>
  <c r="C75" i="5"/>
  <c r="B75" i="5"/>
  <c r="B72" i="5"/>
  <c r="B71" i="5"/>
  <c r="B70" i="5"/>
  <c r="B66" i="5"/>
  <c r="B65" i="5"/>
  <c r="B64" i="5"/>
  <c r="B63" i="5"/>
  <c r="B62" i="5"/>
  <c r="B61" i="5"/>
  <c r="B60" i="5"/>
  <c r="B57" i="5"/>
  <c r="B56" i="5"/>
  <c r="B55" i="5"/>
  <c r="B54" i="5"/>
  <c r="B53" i="5"/>
  <c r="B52" i="5"/>
  <c r="B51" i="5"/>
  <c r="B50" i="5"/>
  <c r="B49" i="5"/>
  <c r="G44" i="5"/>
  <c r="G34" i="6" s="1"/>
  <c r="F44" i="5"/>
  <c r="F34" i="6" s="1"/>
  <c r="E44" i="5"/>
  <c r="E34" i="6" s="1"/>
  <c r="D44" i="5"/>
  <c r="D34" i="6" s="1"/>
  <c r="C44" i="5"/>
  <c r="C34" i="6" s="1"/>
  <c r="B44" i="5"/>
  <c r="B41" i="5"/>
  <c r="B40" i="5"/>
  <c r="B39" i="5"/>
  <c r="B38" i="5"/>
  <c r="B37" i="5"/>
  <c r="B33" i="5"/>
  <c r="G31" i="5"/>
  <c r="F31" i="5"/>
  <c r="E31" i="5"/>
  <c r="D31" i="5"/>
  <c r="C31" i="5"/>
  <c r="B31" i="5"/>
  <c r="B30" i="5"/>
  <c r="G28" i="5"/>
  <c r="F28" i="5"/>
  <c r="E28" i="5"/>
  <c r="D28" i="5"/>
  <c r="C28" i="5"/>
  <c r="B28" i="5"/>
  <c r="B27" i="5"/>
  <c r="B26" i="5"/>
  <c r="E26" i="5" s="1"/>
  <c r="E27" i="5" s="1"/>
  <c r="B24" i="5"/>
  <c r="B22" i="5"/>
  <c r="B21" i="5"/>
  <c r="B15" i="5"/>
  <c r="C15" i="5" s="1"/>
  <c r="D15" i="5" s="1"/>
  <c r="E15" i="5" s="1"/>
  <c r="F15" i="5" s="1"/>
  <c r="G15" i="5" s="1"/>
  <c r="B14" i="5"/>
  <c r="D13" i="5"/>
  <c r="E13" i="5" s="1"/>
  <c r="F13" i="5" s="1"/>
  <c r="G13" i="5" s="1"/>
  <c r="C13" i="5"/>
  <c r="D12" i="5"/>
  <c r="B77" i="4"/>
  <c r="B76" i="4"/>
  <c r="B75" i="4"/>
  <c r="B74" i="4"/>
  <c r="B73" i="4"/>
  <c r="B72" i="4"/>
  <c r="B71" i="4"/>
  <c r="B68" i="4"/>
  <c r="B67" i="4"/>
  <c r="B66" i="4"/>
  <c r="B65" i="4"/>
  <c r="B64" i="4"/>
  <c r="G63" i="4"/>
  <c r="F63" i="4"/>
  <c r="E63" i="4"/>
  <c r="D63" i="4"/>
  <c r="C63" i="4"/>
  <c r="B63" i="4"/>
  <c r="B60" i="4"/>
  <c r="B59" i="4"/>
  <c r="B58" i="4"/>
  <c r="B61" i="4" s="1"/>
  <c r="B54" i="4"/>
  <c r="B53" i="4"/>
  <c r="B52" i="4"/>
  <c r="B51" i="4"/>
  <c r="B50" i="4"/>
  <c r="B49" i="4"/>
  <c r="B48" i="4"/>
  <c r="B45" i="4"/>
  <c r="B44" i="4"/>
  <c r="B43" i="4"/>
  <c r="B42" i="4"/>
  <c r="B41" i="4"/>
  <c r="B40" i="4"/>
  <c r="B39" i="4"/>
  <c r="B38" i="4"/>
  <c r="B37" i="4"/>
  <c r="G32" i="4"/>
  <c r="G10" i="6" s="1"/>
  <c r="F32" i="4"/>
  <c r="F10" i="6" s="1"/>
  <c r="E32" i="4"/>
  <c r="E10" i="6" s="1"/>
  <c r="D32" i="4"/>
  <c r="D10" i="6" s="1"/>
  <c r="C32" i="4"/>
  <c r="B32" i="4"/>
  <c r="B29" i="4"/>
  <c r="B28" i="4"/>
  <c r="B27" i="4"/>
  <c r="B26" i="4"/>
  <c r="B25" i="4"/>
  <c r="B20" i="4"/>
  <c r="G18" i="4"/>
  <c r="F18" i="4"/>
  <c r="E18" i="4"/>
  <c r="D18" i="4"/>
  <c r="C18" i="4"/>
  <c r="B18" i="4"/>
  <c r="B17" i="4"/>
  <c r="G15" i="4"/>
  <c r="F15" i="4"/>
  <c r="E15" i="4"/>
  <c r="D15" i="4"/>
  <c r="C15" i="4"/>
  <c r="B15" i="4"/>
  <c r="B14" i="4"/>
  <c r="B13" i="4"/>
  <c r="F13" i="4" s="1"/>
  <c r="F14" i="4" s="1"/>
  <c r="B11" i="4"/>
  <c r="B6" i="4"/>
  <c r="B18" i="3"/>
  <c r="B19" i="3" s="1"/>
  <c r="B16" i="3"/>
  <c r="B12" i="3"/>
  <c r="B8" i="3"/>
  <c r="I55" i="2"/>
  <c r="H55" i="2"/>
  <c r="G55" i="2"/>
  <c r="F55" i="2"/>
  <c r="E55" i="2"/>
  <c r="I49" i="2"/>
  <c r="H49" i="2"/>
  <c r="G49" i="2"/>
  <c r="F49" i="2"/>
  <c r="E49" i="2"/>
  <c r="D47" i="2"/>
  <c r="D35" i="2"/>
  <c r="C35" i="2"/>
  <c r="D28" i="2"/>
  <c r="C28" i="2"/>
  <c r="B28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17" i="2"/>
  <c r="C17" i="2"/>
  <c r="B17" i="2"/>
  <c r="D16" i="2"/>
  <c r="B11" i="3" s="1"/>
  <c r="B13" i="3" s="1"/>
  <c r="C16" i="2"/>
  <c r="D14" i="2"/>
  <c r="C14" i="2"/>
  <c r="B14" i="2"/>
  <c r="I11" i="2"/>
  <c r="H11" i="2"/>
  <c r="G11" i="2"/>
  <c r="F11" i="2"/>
  <c r="E11" i="2"/>
  <c r="D10" i="2"/>
  <c r="C10" i="2"/>
  <c r="B10" i="2"/>
  <c r="D9" i="2"/>
  <c r="C9" i="2"/>
  <c r="B9" i="2"/>
  <c r="D8" i="2"/>
  <c r="C8" i="2"/>
  <c r="B8" i="2"/>
  <c r="D7" i="2"/>
  <c r="C7" i="2"/>
  <c r="F35" i="1"/>
  <c r="M44" i="1"/>
  <c r="L44" i="1"/>
  <c r="K44" i="1"/>
  <c r="K45" i="1" s="1"/>
  <c r="J44" i="1"/>
  <c r="I44" i="1"/>
  <c r="M36" i="1"/>
  <c r="L36" i="1"/>
  <c r="K36" i="1"/>
  <c r="J36" i="1"/>
  <c r="I36" i="1"/>
  <c r="M29" i="1"/>
  <c r="M45" i="1" s="1"/>
  <c r="L29" i="1"/>
  <c r="K29" i="1"/>
  <c r="J29" i="1"/>
  <c r="J45" i="1" s="1"/>
  <c r="I29" i="1"/>
  <c r="I45" i="1" s="1"/>
  <c r="M27" i="1"/>
  <c r="L27" i="1"/>
  <c r="K27" i="1"/>
  <c r="J27" i="1"/>
  <c r="I27" i="1"/>
  <c r="M23" i="1"/>
  <c r="L23" i="1"/>
  <c r="L24" i="1" s="1"/>
  <c r="K23" i="1"/>
  <c r="J23" i="1"/>
  <c r="I23" i="1"/>
  <c r="C19" i="1"/>
  <c r="C21" i="1" s="1"/>
  <c r="C23" i="1" s="1"/>
  <c r="C25" i="1" s="1"/>
  <c r="B19" i="1"/>
  <c r="B21" i="1" s="1"/>
  <c r="B23" i="1" s="1"/>
  <c r="B25" i="1" s="1"/>
  <c r="M15" i="1"/>
  <c r="M24" i="1" s="1"/>
  <c r="L15" i="1"/>
  <c r="K15" i="1"/>
  <c r="K24" i="1" s="1"/>
  <c r="J15" i="1"/>
  <c r="I15" i="1"/>
  <c r="C15" i="1"/>
  <c r="B15" i="1"/>
  <c r="F14" i="1"/>
  <c r="F15" i="1" s="1"/>
  <c r="E14" i="1"/>
  <c r="E15" i="1" s="1"/>
  <c r="D14" i="1"/>
  <c r="C14" i="1"/>
  <c r="B14" i="1"/>
  <c r="F8" i="1"/>
  <c r="E8" i="1"/>
  <c r="D8" i="1"/>
  <c r="D15" i="1" s="1"/>
  <c r="C8" i="1"/>
  <c r="B8" i="1"/>
  <c r="B78" i="4" l="1"/>
  <c r="B46" i="4"/>
  <c r="B69" i="4"/>
  <c r="B73" i="5"/>
  <c r="G26" i="5"/>
  <c r="G27" i="5" s="1"/>
  <c r="F26" i="5"/>
  <c r="F27" i="5" s="1"/>
  <c r="B55" i="4"/>
  <c r="B56" i="4" s="1"/>
  <c r="B80" i="4" s="1"/>
  <c r="B16" i="5"/>
  <c r="B20" i="5" s="1"/>
  <c r="K8" i="6"/>
  <c r="B30" i="7" s="1"/>
  <c r="G13" i="4"/>
  <c r="G14" i="4" s="1"/>
  <c r="C13" i="4"/>
  <c r="C14" i="4" s="1"/>
  <c r="D13" i="4"/>
  <c r="D14" i="4" s="1"/>
  <c r="E13" i="4"/>
  <c r="E14" i="4" s="1"/>
  <c r="B11" i="2"/>
  <c r="D19" i="1"/>
  <c r="C11" i="2"/>
  <c r="E19" i="1"/>
  <c r="B23" i="5"/>
  <c r="B25" i="5" s="1"/>
  <c r="B10" i="4"/>
  <c r="B12" i="4" s="1"/>
  <c r="F33" i="1"/>
  <c r="B27" i="8"/>
  <c r="F19" i="1"/>
  <c r="D11" i="2"/>
  <c r="F36" i="1"/>
  <c r="B79" i="4"/>
  <c r="B58" i="5"/>
  <c r="B81" i="5"/>
  <c r="F70" i="5"/>
  <c r="E70" i="5"/>
  <c r="D70" i="5"/>
  <c r="G58" i="4"/>
  <c r="C70" i="5"/>
  <c r="F58" i="4"/>
  <c r="E58" i="4"/>
  <c r="H47" i="2"/>
  <c r="D58" i="4"/>
  <c r="G47" i="2"/>
  <c r="C58" i="4"/>
  <c r="F47" i="2"/>
  <c r="C10" i="6"/>
  <c r="E47" i="2"/>
  <c r="B30" i="4"/>
  <c r="L45" i="1"/>
  <c r="I47" i="2"/>
  <c r="B42" i="5"/>
  <c r="B90" i="5"/>
  <c r="I24" i="1"/>
  <c r="B21" i="3"/>
  <c r="B20" i="3"/>
  <c r="J24" i="1"/>
  <c r="G70" i="5"/>
  <c r="B9" i="4"/>
  <c r="B7" i="4"/>
  <c r="C6" i="4"/>
  <c r="B8" i="4"/>
  <c r="B46" i="6"/>
  <c r="B32" i="7"/>
  <c r="B22" i="6"/>
  <c r="D14" i="5"/>
  <c r="B30" i="8"/>
  <c r="B67" i="5"/>
  <c r="K12" i="6"/>
  <c r="E12" i="5"/>
  <c r="C14" i="5"/>
  <c r="C26" i="5"/>
  <c r="C27" i="5" s="1"/>
  <c r="D26" i="5"/>
  <c r="D27" i="5" s="1"/>
  <c r="B44" i="6" l="1"/>
  <c r="B20" i="6"/>
  <c r="B6" i="7"/>
  <c r="C8" i="7" s="1"/>
  <c r="B17" i="5"/>
  <c r="B28" i="8"/>
  <c r="B33" i="8" s="1"/>
  <c r="B91" i="5"/>
  <c r="D16" i="5"/>
  <c r="D17" i="5" s="1"/>
  <c r="C16" i="5"/>
  <c r="E14" i="5"/>
  <c r="F12" i="5"/>
  <c r="B15" i="2"/>
  <c r="D21" i="1"/>
  <c r="D23" i="1" s="1"/>
  <c r="C77" i="4"/>
  <c r="C75" i="4"/>
  <c r="C73" i="4"/>
  <c r="C68" i="4"/>
  <c r="C66" i="4"/>
  <c r="C64" i="4"/>
  <c r="C54" i="4"/>
  <c r="C52" i="4"/>
  <c r="C48" i="4"/>
  <c r="C45" i="4"/>
  <c r="C43" i="4"/>
  <c r="C41" i="4"/>
  <c r="C39" i="4"/>
  <c r="D6" i="4"/>
  <c r="C28" i="4"/>
  <c r="C26" i="4"/>
  <c r="C8" i="4"/>
  <c r="C53" i="4"/>
  <c r="C44" i="4"/>
  <c r="C40" i="4"/>
  <c r="C76" i="4"/>
  <c r="C72" i="4"/>
  <c r="C67" i="4"/>
  <c r="C29" i="4"/>
  <c r="C25" i="4"/>
  <c r="C74" i="4"/>
  <c r="C49" i="4"/>
  <c r="C42" i="4"/>
  <c r="C27" i="4"/>
  <c r="C65" i="4"/>
  <c r="C11" i="4"/>
  <c r="C9" i="4"/>
  <c r="C7" i="4"/>
  <c r="C38" i="4"/>
  <c r="C51" i="4"/>
  <c r="D15" i="2"/>
  <c r="F21" i="1"/>
  <c r="F23" i="1" s="1"/>
  <c r="B29" i="5"/>
  <c r="B16" i="4"/>
  <c r="B23" i="3"/>
  <c r="B68" i="5"/>
  <c r="B92" i="5" s="1"/>
  <c r="B45" i="6"/>
  <c r="B31" i="7"/>
  <c r="B29" i="8"/>
  <c r="B21" i="6"/>
  <c r="C15" i="2"/>
  <c r="E21" i="1"/>
  <c r="E23" i="1" s="1"/>
  <c r="B32" i="8" l="1"/>
  <c r="C7" i="9" s="1"/>
  <c r="C10" i="4"/>
  <c r="C12" i="4" s="1"/>
  <c r="B19" i="4"/>
  <c r="B32" i="5"/>
  <c r="F25" i="1"/>
  <c r="D18" i="2"/>
  <c r="C16" i="4"/>
  <c r="C6" i="6"/>
  <c r="C7" i="7" s="1"/>
  <c r="D25" i="1"/>
  <c r="B18" i="2"/>
  <c r="C9" i="7"/>
  <c r="C18" i="2"/>
  <c r="E25" i="1"/>
  <c r="B34" i="8"/>
  <c r="C9" i="6"/>
  <c r="C37" i="4"/>
  <c r="C69" i="4"/>
  <c r="G12" i="5"/>
  <c r="G14" i="5" s="1"/>
  <c r="F14" i="5"/>
  <c r="E16" i="5"/>
  <c r="E17" i="5"/>
  <c r="C40" i="5"/>
  <c r="C38" i="5"/>
  <c r="C24" i="5"/>
  <c r="C22" i="5"/>
  <c r="C20" i="5"/>
  <c r="C88" i="5"/>
  <c r="C86" i="5"/>
  <c r="C84" i="5"/>
  <c r="C79" i="5"/>
  <c r="C77" i="5"/>
  <c r="C65" i="5"/>
  <c r="C63" i="5"/>
  <c r="C61" i="5"/>
  <c r="C56" i="5"/>
  <c r="C54" i="5"/>
  <c r="C52" i="5"/>
  <c r="C50" i="5"/>
  <c r="C41" i="5"/>
  <c r="C39" i="5"/>
  <c r="C37" i="5"/>
  <c r="C21" i="5"/>
  <c r="C64" i="5"/>
  <c r="C60" i="5"/>
  <c r="C89" i="5"/>
  <c r="C85" i="5"/>
  <c r="C80" i="5"/>
  <c r="C76" i="5"/>
  <c r="C57" i="5"/>
  <c r="C53" i="5"/>
  <c r="C55" i="5"/>
  <c r="C66" i="5"/>
  <c r="C87" i="5"/>
  <c r="C51" i="5"/>
  <c r="C78" i="5"/>
  <c r="E6" i="4"/>
  <c r="D28" i="4"/>
  <c r="D26" i="4"/>
  <c r="D8" i="4"/>
  <c r="D76" i="4"/>
  <c r="D74" i="4"/>
  <c r="D72" i="4"/>
  <c r="D67" i="4"/>
  <c r="D65" i="4"/>
  <c r="D53" i="4"/>
  <c r="D51" i="4"/>
  <c r="D49" i="4"/>
  <c r="D44" i="4"/>
  <c r="D42" i="4"/>
  <c r="D40" i="4"/>
  <c r="D38" i="4"/>
  <c r="D77" i="4"/>
  <c r="D73" i="4"/>
  <c r="D68" i="4"/>
  <c r="D64" i="4"/>
  <c r="D29" i="4"/>
  <c r="D54" i="4"/>
  <c r="D45" i="4"/>
  <c r="D41" i="4"/>
  <c r="D9" i="4"/>
  <c r="D43" i="4"/>
  <c r="D27" i="4"/>
  <c r="D25" i="4"/>
  <c r="D66" i="4"/>
  <c r="D11" i="4"/>
  <c r="D48" i="4"/>
  <c r="D7" i="4"/>
  <c r="D75" i="4"/>
  <c r="D52" i="4"/>
  <c r="D39" i="4"/>
  <c r="C30" i="4"/>
  <c r="C31" i="4" s="1"/>
  <c r="C11" i="6" s="1"/>
  <c r="D40" i="5"/>
  <c r="D38" i="5"/>
  <c r="D24" i="5"/>
  <c r="D33" i="6" s="1"/>
  <c r="D22" i="5"/>
  <c r="D20" i="5"/>
  <c r="D88" i="5"/>
  <c r="D86" i="5"/>
  <c r="D84" i="5"/>
  <c r="D79" i="5"/>
  <c r="D77" i="5"/>
  <c r="D65" i="5"/>
  <c r="D63" i="5"/>
  <c r="D61" i="5"/>
  <c r="D56" i="5"/>
  <c r="D54" i="5"/>
  <c r="D52" i="5"/>
  <c r="D50" i="5"/>
  <c r="D89" i="5"/>
  <c r="D87" i="5"/>
  <c r="D85" i="5"/>
  <c r="D80" i="5"/>
  <c r="D78" i="5"/>
  <c r="D76" i="5"/>
  <c r="D66" i="5"/>
  <c r="D64" i="5"/>
  <c r="D60" i="5"/>
  <c r="D57" i="5"/>
  <c r="D55" i="5"/>
  <c r="D53" i="5"/>
  <c r="D51" i="5"/>
  <c r="D39" i="5"/>
  <c r="D21" i="5"/>
  <c r="D37" i="5"/>
  <c r="D41" i="5"/>
  <c r="E13" i="6"/>
  <c r="G37" i="6"/>
  <c r="D13" i="6"/>
  <c r="F37" i="6"/>
  <c r="C13" i="6"/>
  <c r="E37" i="6"/>
  <c r="D37" i="6"/>
  <c r="C37" i="6"/>
  <c r="E11" i="7"/>
  <c r="G11" i="7"/>
  <c r="F11" i="7"/>
  <c r="D11" i="7"/>
  <c r="C11" i="7"/>
  <c r="G13" i="6"/>
  <c r="F13" i="6"/>
  <c r="C17" i="5"/>
  <c r="B7" i="9" l="1"/>
  <c r="D7" i="9"/>
  <c r="D81" i="5"/>
  <c r="D69" i="4"/>
  <c r="E40" i="5"/>
  <c r="E38" i="5"/>
  <c r="E24" i="5"/>
  <c r="E33" i="6" s="1"/>
  <c r="E22" i="5"/>
  <c r="E20" i="5"/>
  <c r="E88" i="5"/>
  <c r="E86" i="5"/>
  <c r="E84" i="5"/>
  <c r="E79" i="5"/>
  <c r="E77" i="5"/>
  <c r="E65" i="5"/>
  <c r="E63" i="5"/>
  <c r="E61" i="5"/>
  <c r="E56" i="5"/>
  <c r="E54" i="5"/>
  <c r="E52" i="5"/>
  <c r="E50" i="5"/>
  <c r="E39" i="5"/>
  <c r="E57" i="5"/>
  <c r="E53" i="5"/>
  <c r="E21" i="5"/>
  <c r="E80" i="5"/>
  <c r="E76" i="5"/>
  <c r="E89" i="5"/>
  <c r="E85" i="5"/>
  <c r="E66" i="5"/>
  <c r="E37" i="5"/>
  <c r="E60" i="5"/>
  <c r="E87" i="5"/>
  <c r="E41" i="5"/>
  <c r="E51" i="5"/>
  <c r="E78" i="5"/>
  <c r="E55" i="5"/>
  <c r="E64" i="5"/>
  <c r="D10" i="4"/>
  <c r="D12" i="4" s="1"/>
  <c r="C12" i="6"/>
  <c r="D37" i="4"/>
  <c r="C46" i="4"/>
  <c r="C17" i="4"/>
  <c r="C19" i="4"/>
  <c r="D42" i="5"/>
  <c r="G16" i="5"/>
  <c r="G17" i="5" s="1"/>
  <c r="D9" i="6"/>
  <c r="C13" i="7"/>
  <c r="C14" i="7" s="1"/>
  <c r="D8" i="7" s="1"/>
  <c r="D23" i="5"/>
  <c r="D25" i="5" s="1"/>
  <c r="C23" i="5"/>
  <c r="C25" i="5" s="1"/>
  <c r="B21" i="4"/>
  <c r="B22" i="4" s="1"/>
  <c r="B34" i="5"/>
  <c r="F37" i="1"/>
  <c r="F34" i="1"/>
  <c r="F16" i="5"/>
  <c r="F17" i="5" s="1"/>
  <c r="C42" i="5"/>
  <c r="C43" i="5" s="1"/>
  <c r="C35" i="6" s="1"/>
  <c r="D30" i="4"/>
  <c r="D31" i="4" s="1"/>
  <c r="D11" i="6" s="1"/>
  <c r="C81" i="5"/>
  <c r="F6" i="4"/>
  <c r="E28" i="4"/>
  <c r="E26" i="4"/>
  <c r="E8" i="4"/>
  <c r="E76" i="4"/>
  <c r="E74" i="4"/>
  <c r="E72" i="4"/>
  <c r="E67" i="4"/>
  <c r="E65" i="4"/>
  <c r="E53" i="4"/>
  <c r="E51" i="4"/>
  <c r="E49" i="4"/>
  <c r="E44" i="4"/>
  <c r="E42" i="4"/>
  <c r="E40" i="4"/>
  <c r="E38" i="4"/>
  <c r="E45" i="4"/>
  <c r="E41" i="4"/>
  <c r="E9" i="4"/>
  <c r="E54" i="4"/>
  <c r="E29" i="4"/>
  <c r="E25" i="4"/>
  <c r="E75" i="4"/>
  <c r="E66" i="4"/>
  <c r="E68" i="4"/>
  <c r="E43" i="4"/>
  <c r="E27" i="4"/>
  <c r="E11" i="4"/>
  <c r="E73" i="4"/>
  <c r="E48" i="4"/>
  <c r="E52" i="4"/>
  <c r="E77" i="4"/>
  <c r="E39" i="4"/>
  <c r="E7" i="4"/>
  <c r="E64" i="4"/>
  <c r="C33" i="6"/>
  <c r="C49" i="5"/>
  <c r="E7" i="9" l="1"/>
  <c r="D43" i="5"/>
  <c r="D35" i="6" s="1"/>
  <c r="E9" i="6"/>
  <c r="C20" i="4"/>
  <c r="C21" i="4" s="1"/>
  <c r="C58" i="5"/>
  <c r="D49" i="5"/>
  <c r="D46" i="4"/>
  <c r="E37" i="4"/>
  <c r="C30" i="6"/>
  <c r="C32" i="6" s="1"/>
  <c r="C36" i="6" s="1"/>
  <c r="C38" i="6" s="1"/>
  <c r="C29" i="5"/>
  <c r="G6" i="4"/>
  <c r="F28" i="4"/>
  <c r="F26" i="4"/>
  <c r="F8" i="4"/>
  <c r="F76" i="4"/>
  <c r="F74" i="4"/>
  <c r="F72" i="4"/>
  <c r="F67" i="4"/>
  <c r="F65" i="4"/>
  <c r="F53" i="4"/>
  <c r="F51" i="4"/>
  <c r="F49" i="4"/>
  <c r="F44" i="4"/>
  <c r="F42" i="4"/>
  <c r="F40" i="4"/>
  <c r="F38" i="4"/>
  <c r="F29" i="4"/>
  <c r="F27" i="4"/>
  <c r="F25" i="4"/>
  <c r="F11" i="4"/>
  <c r="F9" i="4"/>
  <c r="F7" i="4"/>
  <c r="F54" i="4"/>
  <c r="F45" i="4"/>
  <c r="F41" i="4"/>
  <c r="F66" i="4"/>
  <c r="F75" i="4"/>
  <c r="F52" i="4"/>
  <c r="F73" i="4"/>
  <c r="F48" i="4"/>
  <c r="F77" i="4"/>
  <c r="F64" i="4"/>
  <c r="F39" i="4"/>
  <c r="F68" i="4"/>
  <c r="F43" i="4"/>
  <c r="D30" i="6"/>
  <c r="D32" i="6" s="1"/>
  <c r="D36" i="6" s="1"/>
  <c r="D38" i="6" s="1"/>
  <c r="D29" i="5"/>
  <c r="C10" i="7"/>
  <c r="C12" i="7" s="1"/>
  <c r="E23" i="5"/>
  <c r="E25" i="5" s="1"/>
  <c r="D9" i="7"/>
  <c r="C14" i="6"/>
  <c r="E42" i="5"/>
  <c r="E43" i="5" s="1"/>
  <c r="E35" i="6" s="1"/>
  <c r="E81" i="5"/>
  <c r="E10" i="4"/>
  <c r="E12" i="4" s="1"/>
  <c r="E30" i="4"/>
  <c r="E31" i="4" s="1"/>
  <c r="E11" i="6" s="1"/>
  <c r="D13" i="7"/>
  <c r="D14" i="7" s="1"/>
  <c r="E8" i="7" s="1"/>
  <c r="D16" i="4"/>
  <c r="D6" i="6"/>
  <c r="D8" i="6" s="1"/>
  <c r="E69" i="4"/>
  <c r="F88" i="5"/>
  <c r="F86" i="5"/>
  <c r="F84" i="5"/>
  <c r="F79" i="5"/>
  <c r="F77" i="5"/>
  <c r="F65" i="5"/>
  <c r="F63" i="5"/>
  <c r="F61" i="5"/>
  <c r="F56" i="5"/>
  <c r="F54" i="5"/>
  <c r="F52" i="5"/>
  <c r="F50" i="5"/>
  <c r="F41" i="5"/>
  <c r="F39" i="5"/>
  <c r="F37" i="5"/>
  <c r="F21" i="5"/>
  <c r="F66" i="5"/>
  <c r="F38" i="5"/>
  <c r="F80" i="5"/>
  <c r="F76" i="5"/>
  <c r="F81" i="5" s="1"/>
  <c r="F89" i="5"/>
  <c r="F85" i="5"/>
  <c r="F22" i="5"/>
  <c r="F57" i="5"/>
  <c r="F53" i="5"/>
  <c r="F20" i="5"/>
  <c r="F60" i="5"/>
  <c r="F87" i="5"/>
  <c r="F51" i="5"/>
  <c r="F78" i="5"/>
  <c r="F64" i="5"/>
  <c r="F24" i="5"/>
  <c r="F40" i="5"/>
  <c r="F55" i="5"/>
  <c r="G41" i="5"/>
  <c r="G39" i="5"/>
  <c r="G37" i="5"/>
  <c r="G21" i="5"/>
  <c r="G89" i="5"/>
  <c r="G87" i="5"/>
  <c r="G85" i="5"/>
  <c r="G80" i="5"/>
  <c r="G78" i="5"/>
  <c r="G76" i="5"/>
  <c r="G66" i="5"/>
  <c r="G64" i="5"/>
  <c r="G60" i="5"/>
  <c r="G57" i="5"/>
  <c r="G55" i="5"/>
  <c r="G53" i="5"/>
  <c r="G51" i="5"/>
  <c r="G86" i="5"/>
  <c r="G54" i="5"/>
  <c r="G22" i="5"/>
  <c r="G50" i="5"/>
  <c r="G63" i="5"/>
  <c r="G38" i="5"/>
  <c r="G79" i="5"/>
  <c r="G61" i="5"/>
  <c r="G20" i="5"/>
  <c r="G88" i="5"/>
  <c r="G52" i="5"/>
  <c r="G65" i="5"/>
  <c r="G24" i="5"/>
  <c r="G33" i="6" s="1"/>
  <c r="G56" i="5"/>
  <c r="G84" i="5"/>
  <c r="G77" i="5"/>
  <c r="G40" i="5"/>
  <c r="C6" i="9" l="1"/>
  <c r="B15" i="9" s="1"/>
  <c r="D15" i="9" s="1"/>
  <c r="F10" i="4"/>
  <c r="F12" i="4" s="1"/>
  <c r="G42" i="5"/>
  <c r="F69" i="4"/>
  <c r="G23" i="5"/>
  <c r="G25" i="5" s="1"/>
  <c r="F30" i="4"/>
  <c r="F31" i="4" s="1"/>
  <c r="F11" i="6" s="1"/>
  <c r="C59" i="4"/>
  <c r="C22" i="4"/>
  <c r="G30" i="6"/>
  <c r="G32" i="6" s="1"/>
  <c r="G29" i="5"/>
  <c r="E46" i="4"/>
  <c r="F37" i="4"/>
  <c r="F9" i="6"/>
  <c r="D58" i="5"/>
  <c r="E49" i="5"/>
  <c r="G81" i="5"/>
  <c r="F33" i="6"/>
  <c r="E30" i="6"/>
  <c r="E32" i="6" s="1"/>
  <c r="E36" i="6" s="1"/>
  <c r="E38" i="6" s="1"/>
  <c r="E29" i="5"/>
  <c r="E16" i="4"/>
  <c r="E6" i="6"/>
  <c r="E8" i="6" s="1"/>
  <c r="E9" i="7"/>
  <c r="D7" i="7"/>
  <c r="D12" i="6"/>
  <c r="D17" i="4"/>
  <c r="D19" i="4" s="1"/>
  <c r="D30" i="5"/>
  <c r="D32" i="5" s="1"/>
  <c r="E13" i="7"/>
  <c r="E14" i="7" s="1"/>
  <c r="F8" i="7" s="1"/>
  <c r="B6" i="9"/>
  <c r="F42" i="5"/>
  <c r="F43" i="5" s="1"/>
  <c r="F35" i="6" s="1"/>
  <c r="D6" i="9"/>
  <c r="G28" i="4"/>
  <c r="G26" i="4"/>
  <c r="G8" i="4"/>
  <c r="G76" i="4"/>
  <c r="G74" i="4"/>
  <c r="G72" i="4"/>
  <c r="G67" i="4"/>
  <c r="G65" i="4"/>
  <c r="G53" i="4"/>
  <c r="G51" i="4"/>
  <c r="G49" i="4"/>
  <c r="G44" i="4"/>
  <c r="G42" i="4"/>
  <c r="G40" i="4"/>
  <c r="G38" i="4"/>
  <c r="G77" i="4"/>
  <c r="G75" i="4"/>
  <c r="G73" i="4"/>
  <c r="G68" i="4"/>
  <c r="G66" i="4"/>
  <c r="G64" i="4"/>
  <c r="G54" i="4"/>
  <c r="G52" i="4"/>
  <c r="G48" i="4"/>
  <c r="G45" i="4"/>
  <c r="G43" i="4"/>
  <c r="G41" i="4"/>
  <c r="G39" i="4"/>
  <c r="G9" i="4"/>
  <c r="G29" i="4"/>
  <c r="G25" i="4"/>
  <c r="G27" i="4"/>
  <c r="G11" i="4"/>
  <c r="G7" i="4"/>
  <c r="F16" i="4"/>
  <c r="F6" i="6"/>
  <c r="F8" i="6" s="1"/>
  <c r="F23" i="5"/>
  <c r="F25" i="5" s="1"/>
  <c r="C30" i="5"/>
  <c r="C32" i="5" s="1"/>
  <c r="E6" i="9" l="1"/>
  <c r="F13" i="7"/>
  <c r="F14" i="7" s="1"/>
  <c r="G8" i="7" s="1"/>
  <c r="F9" i="7"/>
  <c r="D20" i="4"/>
  <c r="D21" i="4" s="1"/>
  <c r="C33" i="5"/>
  <c r="C34" i="5" s="1"/>
  <c r="C71" i="5" s="1"/>
  <c r="C73" i="5" s="1"/>
  <c r="D33" i="5"/>
  <c r="D34" i="5" s="1"/>
  <c r="F30" i="6"/>
  <c r="F32" i="6" s="1"/>
  <c r="F36" i="6" s="1"/>
  <c r="F38" i="6" s="1"/>
  <c r="F29" i="5"/>
  <c r="F46" i="4"/>
  <c r="G37" i="4"/>
  <c r="G46" i="4" s="1"/>
  <c r="E17" i="4"/>
  <c r="E19" i="4" s="1"/>
  <c r="F7" i="7"/>
  <c r="F12" i="6"/>
  <c r="F14" i="6" s="1"/>
  <c r="E30" i="5"/>
  <c r="E32" i="5" s="1"/>
  <c r="F17" i="4"/>
  <c r="F19" i="4" s="1"/>
  <c r="G43" i="5"/>
  <c r="G30" i="5"/>
  <c r="G32" i="5" s="1"/>
  <c r="G9" i="6"/>
  <c r="G13" i="7"/>
  <c r="G69" i="4"/>
  <c r="D14" i="6"/>
  <c r="E7" i="7"/>
  <c r="E10" i="7" s="1"/>
  <c r="E12" i="7" s="1"/>
  <c r="E12" i="6"/>
  <c r="E14" i="6" s="1"/>
  <c r="G10" i="4"/>
  <c r="G12" i="4" s="1"/>
  <c r="D10" i="7"/>
  <c r="D12" i="7" s="1"/>
  <c r="G30" i="4"/>
  <c r="G31" i="4" s="1"/>
  <c r="G11" i="6" s="1"/>
  <c r="E58" i="5"/>
  <c r="F49" i="5"/>
  <c r="C61" i="4"/>
  <c r="F10" i="7" l="1"/>
  <c r="F12" i="7" s="1"/>
  <c r="D22" i="4"/>
  <c r="D59" i="4"/>
  <c r="D61" i="4" s="1"/>
  <c r="D71" i="5"/>
  <c r="E20" i="4"/>
  <c r="E21" i="4"/>
  <c r="E22" i="4" s="1"/>
  <c r="G33" i="5"/>
  <c r="G34" i="5"/>
  <c r="F20" i="4"/>
  <c r="F21" i="4"/>
  <c r="F22" i="4" s="1"/>
  <c r="E33" i="5"/>
  <c r="E34" i="5" s="1"/>
  <c r="B40" i="6"/>
  <c r="F58" i="5"/>
  <c r="G49" i="5"/>
  <c r="G58" i="5" s="1"/>
  <c r="F30" i="5"/>
  <c r="F32" i="5" s="1"/>
  <c r="C71" i="4"/>
  <c r="C78" i="4" s="1"/>
  <c r="C79" i="4" s="1"/>
  <c r="G35" i="6"/>
  <c r="G36" i="6" s="1"/>
  <c r="G38" i="6" s="1"/>
  <c r="B39" i="6"/>
  <c r="B41" i="6" s="1"/>
  <c r="B42" i="6" s="1"/>
  <c r="G16" i="4"/>
  <c r="G6" i="6"/>
  <c r="G8" i="6" s="1"/>
  <c r="G14" i="7"/>
  <c r="B15" i="6" s="1"/>
  <c r="G9" i="7"/>
  <c r="C50" i="4" l="1"/>
  <c r="C55" i="4" s="1"/>
  <c r="C56" i="4" s="1"/>
  <c r="C80" i="4" s="1"/>
  <c r="F33" i="5"/>
  <c r="F34" i="5" s="1"/>
  <c r="B43" i="6"/>
  <c r="B47" i="6" s="1"/>
  <c r="B49" i="6" s="1"/>
  <c r="D71" i="4"/>
  <c r="D78" i="4" s="1"/>
  <c r="D79" i="4" s="1"/>
  <c r="E59" i="4"/>
  <c r="C83" i="5"/>
  <c r="C90" i="5" s="1"/>
  <c r="C91" i="5" s="1"/>
  <c r="B17" i="6"/>
  <c r="B18" i="6" s="1"/>
  <c r="G7" i="7"/>
  <c r="G12" i="6"/>
  <c r="G17" i="4"/>
  <c r="G19" i="4" s="1"/>
  <c r="E71" i="5"/>
  <c r="D73" i="5"/>
  <c r="C67" i="5" l="1"/>
  <c r="C68" i="5" s="1"/>
  <c r="C92" i="5" s="1"/>
  <c r="G20" i="4"/>
  <c r="G21" i="4" s="1"/>
  <c r="G22" i="4" s="1"/>
  <c r="G14" i="6"/>
  <c r="B16" i="6" s="1"/>
  <c r="B19" i="6" s="1"/>
  <c r="B59" i="6"/>
  <c r="C58" i="6"/>
  <c r="F56" i="6"/>
  <c r="F55" i="6"/>
  <c r="F57" i="6"/>
  <c r="B57" i="6"/>
  <c r="E58" i="6"/>
  <c r="E55" i="6"/>
  <c r="C57" i="6"/>
  <c r="B58" i="6"/>
  <c r="C56" i="6"/>
  <c r="D56" i="6"/>
  <c r="F59" i="6"/>
  <c r="E56" i="6"/>
  <c r="D58" i="6"/>
  <c r="C55" i="6"/>
  <c r="E57" i="6"/>
  <c r="D59" i="6"/>
  <c r="C59" i="6"/>
  <c r="D55" i="6"/>
  <c r="E59" i="6"/>
  <c r="F58" i="6"/>
  <c r="B55" i="6"/>
  <c r="D57" i="6"/>
  <c r="B56" i="6"/>
  <c r="B17" i="7"/>
  <c r="B18" i="7" s="1"/>
  <c r="G10" i="7"/>
  <c r="G12" i="7" s="1"/>
  <c r="B16" i="7" s="1"/>
  <c r="E41" i="7"/>
  <c r="F43" i="7"/>
  <c r="C43" i="7"/>
  <c r="C44" i="7"/>
  <c r="B42" i="7"/>
  <c r="D40" i="7"/>
  <c r="F40" i="7"/>
  <c r="D42" i="7"/>
  <c r="C42" i="7"/>
  <c r="F42" i="7"/>
  <c r="E40" i="7"/>
  <c r="B43" i="7"/>
  <c r="D41" i="7"/>
  <c r="E42" i="7"/>
  <c r="B40" i="7"/>
  <c r="C40" i="7"/>
  <c r="B41" i="7"/>
  <c r="C41" i="7"/>
  <c r="F41" i="7"/>
  <c r="F44" i="7"/>
  <c r="D44" i="7"/>
  <c r="E43" i="7"/>
  <c r="E44" i="7"/>
  <c r="D43" i="7"/>
  <c r="B44" i="7"/>
  <c r="D83" i="5"/>
  <c r="D90" i="5" s="1"/>
  <c r="D91" i="5" s="1"/>
  <c r="F59" i="4"/>
  <c r="E61" i="4"/>
  <c r="F71" i="5"/>
  <c r="E73" i="5"/>
  <c r="D50" i="4"/>
  <c r="D55" i="4" s="1"/>
  <c r="D56" i="4" s="1"/>
  <c r="D80" i="4" s="1"/>
  <c r="D8" i="9" l="1"/>
  <c r="B8" i="9"/>
  <c r="I5" i="9" s="1"/>
  <c r="B5" i="9"/>
  <c r="D5" i="9"/>
  <c r="B19" i="7"/>
  <c r="B33" i="7" s="1"/>
  <c r="B35" i="7" s="1"/>
  <c r="G59" i="4"/>
  <c r="G61" i="4" s="1"/>
  <c r="F61" i="4"/>
  <c r="D67" i="5"/>
  <c r="D68" i="5" s="1"/>
  <c r="D92" i="5" s="1"/>
  <c r="E71" i="4"/>
  <c r="E78" i="4" s="1"/>
  <c r="E79" i="4" s="1"/>
  <c r="B22" i="7"/>
  <c r="B23" i="6"/>
  <c r="B25" i="6" s="1"/>
  <c r="D14" i="9" s="1"/>
  <c r="E83" i="5"/>
  <c r="E90" i="5" s="1"/>
  <c r="E91" i="5" s="1"/>
  <c r="G71" i="5"/>
  <c r="G73" i="5" s="1"/>
  <c r="F73" i="5"/>
  <c r="E8" i="9" l="1"/>
  <c r="C8" i="9"/>
  <c r="B16" i="9" s="1"/>
  <c r="D16" i="9" s="1"/>
  <c r="D17" i="9" s="1"/>
  <c r="B24" i="7"/>
  <c r="B25" i="7" s="1"/>
  <c r="B23" i="7"/>
  <c r="B29" i="7"/>
  <c r="E67" i="5"/>
  <c r="E68" i="5" s="1"/>
  <c r="E92" i="5"/>
  <c r="E50" i="4"/>
  <c r="E55" i="4" s="1"/>
  <c r="E56" i="4" s="1"/>
  <c r="E80" i="4" s="1"/>
  <c r="F83" i="5"/>
  <c r="F90" i="5" s="1"/>
  <c r="F91" i="5" s="1"/>
  <c r="G83" i="5"/>
  <c r="G90" i="5" s="1"/>
  <c r="G91" i="5" s="1"/>
  <c r="E5" i="9"/>
  <c r="F71" i="4"/>
  <c r="F78" i="4" s="1"/>
  <c r="F79" i="4" s="1"/>
  <c r="G71" i="4"/>
  <c r="G78" i="4" s="1"/>
  <c r="G79" i="4" s="1"/>
  <c r="G50" i="4" l="1"/>
  <c r="G55" i="4" s="1"/>
  <c r="G56" i="4" s="1"/>
  <c r="G80" i="4" s="1"/>
  <c r="G67" i="5"/>
  <c r="G68" i="5" s="1"/>
  <c r="G92" i="5" s="1"/>
  <c r="F50" i="4"/>
  <c r="F55" i="4" s="1"/>
  <c r="F56" i="4" s="1"/>
  <c r="F80" i="4" s="1"/>
  <c r="F67" i="5"/>
  <c r="F68" i="5" s="1"/>
  <c r="F92" i="5" s="1"/>
</calcChain>
</file>

<file path=xl/sharedStrings.xml><?xml version="1.0" encoding="utf-8"?>
<sst xmlns="http://schemas.openxmlformats.org/spreadsheetml/2006/main" count="684" uniqueCount="387">
  <si>
    <t>Statement of Profit &amp; Loss (Consolidated)</t>
  </si>
  <si>
    <t>Balance Sheet (Consolidated)</t>
  </si>
  <si>
    <t>Particulars</t>
  </si>
  <si>
    <t>FY22A</t>
  </si>
  <si>
    <t>FY23A</t>
  </si>
  <si>
    <t>FY24A</t>
  </si>
  <si>
    <t>FY25A</t>
  </si>
  <si>
    <t>FY26A</t>
  </si>
  <si>
    <t>Revenue from operations</t>
  </si>
  <si>
    <t>Property, plant &amp; equipment</t>
  </si>
  <si>
    <t>Other income</t>
  </si>
  <si>
    <t>Right-of-use assets</t>
  </si>
  <si>
    <t>Total income</t>
  </si>
  <si>
    <t>Capital work-in-progress</t>
  </si>
  <si>
    <t>Cost of materials consumed</t>
  </si>
  <si>
    <t>Goodwill</t>
  </si>
  <si>
    <t>Purchase of traded goods</t>
  </si>
  <si>
    <t>Other intangible assets</t>
  </si>
  <si>
    <t>Changes in inventories</t>
  </si>
  <si>
    <t>Investments (non-current)</t>
  </si>
  <si>
    <t>Employee benefits expense</t>
  </si>
  <si>
    <t>Other financial assets (NC)</t>
  </si>
  <si>
    <t>Other expenses</t>
  </si>
  <si>
    <t>Income tax assets (net, NC)</t>
  </si>
  <si>
    <t>Total expenses</t>
  </si>
  <si>
    <t>Other non-current assets</t>
  </si>
  <si>
    <t>EBITDA</t>
  </si>
  <si>
    <t>Total non-current assets</t>
  </si>
  <si>
    <t>Depreciation &amp; amortisation</t>
  </si>
  <si>
    <t>Inventories</t>
  </si>
  <si>
    <t>Finance income</t>
  </si>
  <si>
    <t>Trade receivables</t>
  </si>
  <si>
    <t>Finance costs</t>
  </si>
  <si>
    <t>Cash &amp; cash equivalents</t>
  </si>
  <si>
    <t>Profit before tax (PBT)</t>
  </si>
  <si>
    <t>Other bank balances</t>
  </si>
  <si>
    <t>Total tax expense</t>
  </si>
  <si>
    <t>Loans (current)</t>
  </si>
  <si>
    <t>Profit before share of assoc./JV</t>
  </si>
  <si>
    <t>Other financial assets (current)</t>
  </si>
  <si>
    <t>Share of profit/(loss) - assoc/JV</t>
  </si>
  <si>
    <t>Other current assets</t>
  </si>
  <si>
    <t>Profit for the year</t>
  </si>
  <si>
    <t>Total current assets</t>
  </si>
  <si>
    <t>Non-controlling interests (NCI)</t>
  </si>
  <si>
    <t>TOTAL ASSETS</t>
  </si>
  <si>
    <t>PAT attributable to owners</t>
  </si>
  <si>
    <t>Equity share capital</t>
  </si>
  <si>
    <t>Other equity</t>
  </si>
  <si>
    <t>CFO / Capex (Consolidated, per Cash Flow Statement)</t>
  </si>
  <si>
    <t>Equity attributable to owners</t>
  </si>
  <si>
    <t>Net cash from operating activities (CFO)</t>
  </si>
  <si>
    <t>Non-controlling interests</t>
  </si>
  <si>
    <t>Capital expenditure (purchase of PPE, incl. CWIP movement)</t>
  </si>
  <si>
    <t>Total equity</t>
  </si>
  <si>
    <t>Borrowings (non-current)</t>
  </si>
  <si>
    <t>Lease liabilities (NC)</t>
  </si>
  <si>
    <t>Other financial liabilities (NC)</t>
  </si>
  <si>
    <t>Provisions (NC)</t>
  </si>
  <si>
    <t>Deferred tax liability (net)</t>
  </si>
  <si>
    <t>Other non-current liabilities</t>
  </si>
  <si>
    <t>Total non-current liabilities</t>
  </si>
  <si>
    <t>Borrowings (current)</t>
  </si>
  <si>
    <t>Trade payables</t>
  </si>
  <si>
    <t>Lease liabilities (current)</t>
  </si>
  <si>
    <t>Other financial liabilities (current)</t>
  </si>
  <si>
    <t>Other current liabilities</t>
  </si>
  <si>
    <t>Provisions (current)</t>
  </si>
  <si>
    <t>Income tax liabilities (net)</t>
  </si>
  <si>
    <t>Total current liabilities</t>
  </si>
  <si>
    <t>TOTAL EQUITY + LIABILITIES</t>
  </si>
  <si>
    <t>KEY RATIOS (FY24A-FY26A, for reference/presentation)</t>
  </si>
  <si>
    <t>ROCE % (EBIT / Capital Employed)</t>
  </si>
  <si>
    <t>ROE % (PAT attrib. owners / Equity attrib. owners)</t>
  </si>
  <si>
    <t>Debt / Equity (Total debt / Total equity)</t>
  </si>
  <si>
    <t>EBIT margin % (EBIT / Revenue)</t>
  </si>
  <si>
    <t>PAT margin % (PAT attrib. owners / Revenue)</t>
  </si>
  <si>
    <t>t-2</t>
  </si>
  <si>
    <t>t-1</t>
  </si>
  <si>
    <t>t0</t>
  </si>
  <si>
    <t>t1</t>
  </si>
  <si>
    <t>t2</t>
  </si>
  <si>
    <t>t3</t>
  </si>
  <si>
    <t>t4</t>
  </si>
  <si>
    <t>t5</t>
  </si>
  <si>
    <t>Laurus Labs Ltd - Forecast Assumptions</t>
  </si>
  <si>
    <t>ACTUALS</t>
  </si>
  <si>
    <t>FORECAST</t>
  </si>
  <si>
    <t>FY27E</t>
  </si>
  <si>
    <t>FY28E</t>
  </si>
  <si>
    <t>FY29E</t>
  </si>
  <si>
    <t>FY30E</t>
  </si>
  <si>
    <t>FY31E</t>
  </si>
  <si>
    <t>Basis of this assumption</t>
  </si>
  <si>
    <t>Source</t>
  </si>
  <si>
    <t>REVENUE &amp; MARGIN DRIVERS</t>
  </si>
  <si>
    <t>Revenue growth % YoY</t>
  </si>
  <si>
    <t>15% a year for FY27-31. FY26 grew +23% and 9M FY26 CDMO grew &gt;50%; management expects 'healthy growth' in FY27 and 'significant growth in FY28' (Q3 FY26 call, Jan-2026) but gave no numbers. 15% is a moderated, round rate.</t>
  </si>
  <si>
    <t>AR FY25-26; Q3 FY26 concall (Jan-2026)</t>
  </si>
  <si>
    <t>60%: FY26 actual 60.4%; management expects 'to maintain gross margins of around 60%... also next financial year' (Q3 FY26 call, Jan-2026).</t>
  </si>
  <si>
    <t>AR FY25-26; Q3 FY26 concall</t>
  </si>
  <si>
    <t>Employee benefit expense % of revenue</t>
  </si>
  <si>
    <t>13%: FY26 actual 13.1%.</t>
  </si>
  <si>
    <t>AR FY25-26 (calculated)</t>
  </si>
  <si>
    <t>Other expenses % of revenue</t>
  </si>
  <si>
    <t>21%: FY26 actual 21.2%. Gives forecast EBITDA margin of 26% (60% - 13% - 21%) vs FY26 26.1% excluding other income.</t>
  </si>
  <si>
    <t>Memo (formula): gross margin - employee % - other expenses %. Cross-check: FY26 EBITDA margin 26.8%, Q4 FY26 28.9% (Q4 FY26 call). Forecast EBITDA excludes other income.</t>
  </si>
  <si>
    <t>DEPRECIATION, TAX &amp; FINANCE</t>
  </si>
  <si>
    <t>Depreciation &amp; amortisation % of revenue</t>
  </si>
  <si>
    <t>7.5% (FY26 actual 7.05%): slightly higher as capex of over Rs1,000cr a year keeps adding to the asset base.</t>
  </si>
  <si>
    <t>Effective tax rate %</t>
  </si>
  <si>
    <t>25.17% = India statutory corporate tax rate under the concessional regime (22% + 10% surcharge + 4% cess). FY26 effective rate 24.7% supports it. (Post-valuation-date corroboration only: CFO said ~25-26% in Apr-2026.)</t>
  </si>
  <si>
    <t>Statutory rate; AR FY25-26</t>
  </si>
  <si>
    <t>Effective interest rate (Finance costs / avg. total debt)</t>
  </si>
  <si>
    <t>7%: FY26 actual 6.7% (finance cost / average borrowings), rounded.</t>
  </si>
  <si>
    <t>Share of profit from associates/JV (Rs Cr, absolute)</t>
  </si>
  <si>
    <t>Immaterial (Rs0.3cr in FY26); nil.</t>
  </si>
  <si>
    <t>NCI share % of Profit before NCI</t>
  </si>
  <si>
    <t>Immaterial (0.15% of profit in FY26); nil.</t>
  </si>
  <si>
    <t>WORKING CAPITAL (days / % of revenue)</t>
  </si>
  <si>
    <t>Inventory / Revenue</t>
  </si>
  <si>
    <t>34%: FY26 actual 34.4%; held flat.</t>
  </si>
  <si>
    <t>Trade receivables / Revenue</t>
  </si>
  <si>
    <t>32%: FY26 actual 31.6%; held flat.</t>
  </si>
  <si>
    <t>Trade payables / Revenue</t>
  </si>
  <si>
    <t>18%: FY26 actual 18.4%; held flat.</t>
  </si>
  <si>
    <t>Other operating current assets / Revenue</t>
  </si>
  <si>
    <t>3%: FY26 actual 3.1%; held flat.</t>
  </si>
  <si>
    <t>Other operating current liabilities / Revenue</t>
  </si>
  <si>
    <t>2%: FY26 actual 2.4%; rounded.</t>
  </si>
  <si>
    <t>CAPEX &amp; SHARE COUNT</t>
  </si>
  <si>
    <t>Capital expenditure (Rs Crore, absolute)</t>
  </si>
  <si>
    <t>Rs1,200cr a year: management said capex is about Rs1,000cr in FY26 and 'over Rs1,000 crores next year also' (Q3 FY26 call, Jan-2026); FY26 actual Rs1,070cr. Rs1,200cr held flat. (Post-valuation-date corroboration only, not used: Apr-2026 call raised guidance to ~Rs1,500cr a year.)</t>
  </si>
  <si>
    <t>Q3 FY26 concall (Jan-2026); AR FY25-26</t>
  </si>
  <si>
    <t>Shares outstanding, period-end 31-Mar-2026 (Crore) - for market cap &amp; value per share</t>
  </si>
  <si>
    <t>Period-end shares at 31-Mar-2026: 53.9856582 Cr (539,856,582 shares). USED FOR market capitalisation and value per share.</t>
  </si>
  <si>
    <t>Diluted weighted-average shares FY26 (Crore) - for EPS only</t>
  </si>
  <si>
    <t>FY26 diluted weighted-average shares, used ONLY for FY26 EPS / P/E. Not used for market cap or value per share.</t>
  </si>
  <si>
    <t>AR FY25-26 (EPS note)</t>
  </si>
  <si>
    <t>PPE / Revenue (memo; PPE forecast uses roll-forward)</t>
  </si>
  <si>
    <t>PPE/revenue held near FY26A</t>
  </si>
  <si>
    <t>Right-of-use assets / Revenue</t>
  </si>
  <si>
    <t>ROU assets/revenue held near FY26A</t>
  </si>
  <si>
    <t>Capital work-in-progress / Revenue</t>
  </si>
  <si>
    <t>CWIP/revenue held near FY26A</t>
  </si>
  <si>
    <t>Goodwill / Revenue</t>
  </si>
  <si>
    <t>Goodwill/revenue held near FY26A</t>
  </si>
  <si>
    <t>Other intangible assets / Revenue</t>
  </si>
  <si>
    <t>Intangibles/revenue held near FY26A</t>
  </si>
  <si>
    <t>Investments (non-current) / Revenue</t>
  </si>
  <si>
    <t>Non-operating investments/revenue held near FY26A</t>
  </si>
  <si>
    <t>Other financial assets (NC) / Revenue</t>
  </si>
  <si>
    <t>Held near FY26A as % of revenue</t>
  </si>
  <si>
    <t>Income tax assets (NC) / Revenue</t>
  </si>
  <si>
    <t>Held near FY26A; immaterial</t>
  </si>
  <si>
    <t>Other non-current assets / Revenue</t>
  </si>
  <si>
    <t>Other bank balances / Revenue</t>
  </si>
  <si>
    <t>Loans (current) / Revenue</t>
  </si>
  <si>
    <t>Other financial assets (current) / Revenue</t>
  </si>
  <si>
    <t>Equity share capital (Rs Cr, absolute)</t>
  </si>
  <si>
    <t>Held flat at FY26A</t>
  </si>
  <si>
    <t>NCI / Revenue</t>
  </si>
  <si>
    <t>Borrowings (non-current) - held flat at FY26A (Rs Cr)</t>
  </si>
  <si>
    <t>Lease liabilities (NC) / Revenue</t>
  </si>
  <si>
    <t>Other financial liabilities (NC) / Revenue</t>
  </si>
  <si>
    <t>Provisions (NC) / Revenue</t>
  </si>
  <si>
    <t>Deferred tax liability / Revenue</t>
  </si>
  <si>
    <t>Other non-current liabilities / Revenue</t>
  </si>
  <si>
    <t>Borrowings (current) - held flat at FY26A (Rs Cr)</t>
  </si>
  <si>
    <t>Lease liabilities (current) / Revenue</t>
  </si>
  <si>
    <t>Other financial liabilities (current) / Revenue</t>
  </si>
  <si>
    <t>Provisions (current) / Revenue</t>
  </si>
  <si>
    <t>Income tax liabilities / Revenue</t>
  </si>
  <si>
    <t>Balancing figure</t>
  </si>
  <si>
    <t>Dividend payout ratio (for retained earnings roll-forward)</t>
  </si>
  <si>
    <t>Laurus Labs Ltd - Cost of Capital (WACC)</t>
  </si>
  <si>
    <t>COST OF EQUITY (CAPM)</t>
  </si>
  <si>
    <t>Risk-free rate (India 10-yr G-Sec yield)</t>
  </si>
  <si>
    <t>RBI: India 10-Year Bond Yield Historical Data</t>
  </si>
  <si>
    <t>Levered Beta (Beta)</t>
  </si>
  <si>
    <t>Equity risk premium (India)</t>
  </si>
  <si>
    <t xml:space="preserve">India Equity Risk Premium from Aswath Damodaran </t>
  </si>
  <si>
    <t>Cost of equity (Ke) = Rf + Beta x ERP</t>
  </si>
  <si>
    <t>COST OF DEBT</t>
  </si>
  <si>
    <t>Pre-tax cost of debt (effective interest rate)</t>
  </si>
  <si>
    <t>FY26 finance costs / average total borrowings</t>
  </si>
  <si>
    <t>Tax rate (for after-tax Kd)</t>
  </si>
  <si>
    <t>Same rate used in NOPAT</t>
  </si>
  <si>
    <t>After-tax cost of debt = Kd x (1-Tax)</t>
  </si>
  <si>
    <t>CAPITAL STRUCTURE (market-value based)</t>
  </si>
  <si>
    <t>Debt incl. lease liabilities (Rs Cr, FY26A, book value)</t>
  </si>
  <si>
    <t>Borrowings (non-current + current) + lease liabilities at 31-Mar-2026</t>
  </si>
  <si>
    <t>Current share price (Rs)</t>
  </si>
  <si>
    <t>NSE closing price on 30-Mar-2026</t>
  </si>
  <si>
    <t>Shares outstanding, period-end 31-Mar-2026 (Crore)</t>
  </si>
  <si>
    <t>Period-end share count, used for market capitalisation (not the EPS share count).</t>
  </si>
  <si>
    <t xml:space="preserve">Market value of equity (Rs Cr) </t>
  </si>
  <si>
    <t>Current share price x Shares outstanding</t>
  </si>
  <si>
    <t>D / (D+E)</t>
  </si>
  <si>
    <t>E / (D+E)</t>
  </si>
  <si>
    <t>WACC</t>
  </si>
  <si>
    <t>TERMINAL GROWTH RATE</t>
  </si>
  <si>
    <t>Laurus Labs Ltd - Forecast 1: Revenue Growth / Operating Margin Approach</t>
  </si>
  <si>
    <t>ACTUAL</t>
  </si>
  <si>
    <t>PROFIT &amp; LOSS</t>
  </si>
  <si>
    <t>Gross profit (Revenue x Gross margin%)</t>
  </si>
  <si>
    <t>EBIT</t>
  </si>
  <si>
    <t xml:space="preserve">Total debt balance </t>
  </si>
  <si>
    <t xml:space="preserve">Interest expense </t>
  </si>
  <si>
    <t>Profit before tax (EBT)</t>
  </si>
  <si>
    <t>Tax expense</t>
  </si>
  <si>
    <t>Share of profit from associates/JV</t>
  </si>
  <si>
    <t>Profit before NCI</t>
  </si>
  <si>
    <t>EPS (Rs, diluted) - memo</t>
  </si>
  <si>
    <t>WORKING CAPITAL &amp; CAPEX (for FCFF build)</t>
  </si>
  <si>
    <t>Inventory</t>
  </si>
  <si>
    <t>Other operating current assets</t>
  </si>
  <si>
    <t>Other operating current liabilities</t>
  </si>
  <si>
    <t>Operating Working Capital (OWC)</t>
  </si>
  <si>
    <t>Change in OWC (increase = cash outflow)</t>
  </si>
  <si>
    <t>Capital expenditure</t>
  </si>
  <si>
    <t>Income tax assets (NC)</t>
  </si>
  <si>
    <t>ASSETS - CURRENT</t>
  </si>
  <si>
    <t>EQUITY &amp; LIABILITIES</t>
  </si>
  <si>
    <t>Other equity (retained earnings roll-forward)</t>
  </si>
  <si>
    <t>LIABILITIES - NON-CURRENT</t>
  </si>
  <si>
    <t>Deferred tax liability</t>
  </si>
  <si>
    <t>LIABILITIES - CURRENT</t>
  </si>
  <si>
    <t>Income tax liabilities</t>
  </si>
  <si>
    <t>BALANCE CHECK (Assets - Equity &amp; Liabilities)</t>
  </si>
  <si>
    <t>SEGMENT GROWTH ASSUMPTIONS (embedded, all Analyst unless noted)</t>
  </si>
  <si>
    <t>CDMO - Small molecules revenue growth %</t>
  </si>
  <si>
    <t>20% a year: FY26 small-molecule CDMO grew ~38% and 9M FY26 CDMO &gt;50%; management expects 'healthy growth' and mostly commercial supplies in FY27 (Q3 FY26 call). Normalised to 20% as the base scales.</t>
  </si>
  <si>
    <t>CDMO - Bio revenue growth %</t>
  </si>
  <si>
    <t>20% a year: FY26 Bio grew ~15%; new fermentation capacity being built (Q3 FY26 call: capex from 2H FY27).</t>
  </si>
  <si>
    <t>Affordable Medicines revenue growth %</t>
  </si>
  <si>
    <t>10% a year: FY26 grew 18% (9M FY26 generics +26%); ARV guided at Rs2,500-3,000cr (Q3 FY26 call); growth expected in FY27, more in FY28. 10% is a moderated round rate.</t>
  </si>
  <si>
    <t>SEGMENT REVENUE BUILD-UP</t>
  </si>
  <si>
    <t>CDMO - Small molecules revenue</t>
  </si>
  <si>
    <t>FY26A Rs1,896cr (Q4 FY26 call / AR MD&amp;A)</t>
  </si>
  <si>
    <t>CDMO - Bio revenue</t>
  </si>
  <si>
    <t>FY26A Rs184cr (Q4 FY26 call / AR MD&amp;A)</t>
  </si>
  <si>
    <t>CDMO revenue (total)</t>
  </si>
  <si>
    <t>Affordable Medicines revenue (residual = Total - CDMO)</t>
  </si>
  <si>
    <t>FY26A = consolidated revenue less CDMO (Rs4,733cr, agrees with Q4 FY26 call)</t>
  </si>
  <si>
    <t>Total revenue (Forecast 2)</t>
  </si>
  <si>
    <t>P&amp;L (same cost-ratio logic as Forecast 1, applied to Forecast-2 revenue)</t>
  </si>
  <si>
    <t>Gross profit (Revenue x Gross margin%, per Assumptions)</t>
  </si>
  <si>
    <t>Total debt balance (held flat at FY26A)</t>
  </si>
  <si>
    <t>Interest expense</t>
  </si>
  <si>
    <t>Finance income (held flat at FY26A)</t>
  </si>
  <si>
    <t>WORKING CAPITAL &amp; CAPEX (same ratio logic as Forecast 1)</t>
  </si>
  <si>
    <t>Change in OWC</t>
  </si>
  <si>
    <t>EV-to-equity bridge components (FY26A, Rs Cr, consolidated) - single source for DCF, EP and Relative Valuation</t>
  </si>
  <si>
    <t>SCENARIO 1: Revenue Growth / Operating Margin (Forecast 1)</t>
  </si>
  <si>
    <t>Borrowings - non-current</t>
  </si>
  <si>
    <t>Borrowings - current</t>
  </si>
  <si>
    <t>Lease liabilities - non-current (debt-like)</t>
  </si>
  <si>
    <t>Tax rate</t>
  </si>
  <si>
    <t>Lease liabilities - current (debt-like)</t>
  </si>
  <si>
    <t>NOPAT = EBIT x (1-Tax)</t>
  </si>
  <si>
    <t>Total debt &amp; debt-like obligations</t>
  </si>
  <si>
    <t>+ Depreciation &amp; amortisation</t>
  </si>
  <si>
    <t>- Capital expenditure</t>
  </si>
  <si>
    <t>- Change in Operating Working Capital</t>
  </si>
  <si>
    <t>Non-operating investments (non-current investments)</t>
  </si>
  <si>
    <t>FCFF</t>
  </si>
  <si>
    <t>Total cash &amp; non-operating assets</t>
  </si>
  <si>
    <t>Discount factor @ WACC</t>
  </si>
  <si>
    <t>PV of FCFF</t>
  </si>
  <si>
    <t>Closing invested capital FY31E (from Economic Profit tab)</t>
  </si>
  <si>
    <t>Sum of PV of explicit-period FCFF</t>
  </si>
  <si>
    <t>Terminal value = [NOPAT(FY31E) x (1+g) - g x Invested Capital(FY31E)] / (WACC - g)</t>
  </si>
  <si>
    <t>PV of Terminal value</t>
  </si>
  <si>
    <t>Enterprise Value</t>
  </si>
  <si>
    <t>Less: Debt &amp; lease liabilities (FY26A, see components at right)</t>
  </si>
  <si>
    <t>Add: Cash + other bank balances + non-operating investments (FY26A)</t>
  </si>
  <si>
    <t>Less: Non-controlling interests (FY26A)</t>
  </si>
  <si>
    <t>Equity Value attributable to owners</t>
  </si>
  <si>
    <t>Diluted shares outstanding (Crore)</t>
  </si>
  <si>
    <t>Intrinsic Value per Share (Rs) - Scenario 1</t>
  </si>
  <si>
    <t>SCENARIO 2: Segment / Capacity-Aligned (Forecast 2)</t>
  </si>
  <si>
    <t>Closing invested capital FY31E (opening IC + capex - D&amp;A + change in OWC)</t>
  </si>
  <si>
    <t>Shares outstanding (Crore)</t>
  </si>
  <si>
    <t>Intrinsic Value per Share (Rs) - Scenario 2</t>
  </si>
  <si>
    <t>SENSITIVITY: Intrinsic value per share (Rs), Scenario 1 - WACC (rows) vs terminal growth (columns)</t>
  </si>
  <si>
    <t>WACC \ g</t>
  </si>
  <si>
    <t>Opening Invested Capital (FY26A)</t>
  </si>
  <si>
    <t>ECONOMIC PROFIT BUILD (Scenario 1 basis)</t>
  </si>
  <si>
    <t>NOPAT (= EBIT x (1-Tax), from DCF Scenario 1)</t>
  </si>
  <si>
    <t>Opening Invested Capital</t>
  </si>
  <si>
    <t>Less: Capital charge (WACC x Opening IC)</t>
  </si>
  <si>
    <t>Economic Profit (EVA)</t>
  </si>
  <si>
    <t>PV of Economic Profit</t>
  </si>
  <si>
    <t>Net new investment (Capex - Depreciation + Change in OWC)</t>
  </si>
  <si>
    <t>Closing Invested Capital</t>
  </si>
  <si>
    <t>Sum of PV of explicit-period Economic Profit</t>
  </si>
  <si>
    <t>Terminal EP value = [NOPAT(FY31E) x (1+g) - WACC x Invested Capital(FY31E)] / (WACC - g)</t>
  </si>
  <si>
    <t>PV of Terminal Economic Profit</t>
  </si>
  <si>
    <t>Firm Value (EP method) = Opening IC + PV(explicit EP) + PV(Terminal EP)</t>
  </si>
  <si>
    <t>RECONCILIATION CHECK (proves the EP model is built correctly)</t>
  </si>
  <si>
    <t>Enterprise Value per FCFF DCF (Scenario 1, DCF-FCFF tab)</t>
  </si>
  <si>
    <t>Enterprise Value per Economic Profit method (above)</t>
  </si>
  <si>
    <t>Difference (must be ~0)</t>
  </si>
  <si>
    <t>Difference as % of FCFF EV</t>
  </si>
  <si>
    <t>EQUITY VALUE PER SHARE (EP method)</t>
  </si>
  <si>
    <t>Enterprise Value (EP method)</t>
  </si>
  <si>
    <t>Less: Debt &amp; lease liabilities (FY26A)</t>
  </si>
  <si>
    <t>Intrinsic Value per Share (Rs) - Economic Profit method</t>
  </si>
  <si>
    <t>SENSITIVITY: value per share (Rs), Economic Profit method - WACC (rows) vs terminal growth (columns)</t>
  </si>
  <si>
    <t>Laurus Labs Ltd - Relative (Comparable Company) Valuation</t>
  </si>
  <si>
    <t>Peer</t>
  </si>
  <si>
    <t>P/E (31-Mar-2026)</t>
  </si>
  <si>
    <t>ROE %</t>
  </si>
  <si>
    <t>ROCE %</t>
  </si>
  <si>
    <t>EV/EBITDA (31-Mar-2026)</t>
  </si>
  <si>
    <t>Why this peer</t>
  </si>
  <si>
    <t>Divi's Laboratories</t>
  </si>
  <si>
    <t>Closest peer: API/custom-synthesis (CDMO-like) model, similar return profile</t>
  </si>
  <si>
    <t>Torrent Pharmaceuticals</t>
  </si>
  <si>
    <t>Large Indian pharma, premium-rated growth compounder</t>
  </si>
  <si>
    <t>Sun Pharmaceutical</t>
  </si>
  <si>
    <t>India's largest pharma; benchmark for large-cap sector multiple</t>
  </si>
  <si>
    <t>Zydus Lifesciences</t>
  </si>
  <si>
    <t>Diversified generics/API player with similar scale and ROCE</t>
  </si>
  <si>
    <t>Cipla</t>
  </si>
  <si>
    <t>Large generics/ARV-linked player (Cipla also in HIV therapy)</t>
  </si>
  <si>
    <t>Mankind Pharma</t>
  </si>
  <si>
    <t>Large-cap Indian pharma of comparable market value</t>
  </si>
  <si>
    <t>Median of 6 peer companies</t>
  </si>
  <si>
    <t>P/E - 25th percentile</t>
  </si>
  <si>
    <t>P/E - 75th percentile</t>
  </si>
  <si>
    <t>EV/EBITDA - 25th percentile</t>
  </si>
  <si>
    <t>EV/EBITDA - 75th percentile</t>
  </si>
  <si>
    <t>P/E METHOD</t>
  </si>
  <si>
    <t>Laurus FY26A diluted EPS (Rs) = PAT attributable to owners / diluted weighted-average shares</t>
  </si>
  <si>
    <t>Implied value per share (median P/E x EPS)</t>
  </si>
  <si>
    <t xml:space="preserve">  Low (25th percentile P/E)</t>
  </si>
  <si>
    <t xml:space="preserve">  High (75th percentile P/E)</t>
  </si>
  <si>
    <t>EV/EBITDA METHOD</t>
  </si>
  <si>
    <t>Laurus FY26A EBITDA (Rs Cr, consolidated)</t>
  </si>
  <si>
    <t>Shares outstanding, period-end 31-Mar-2026 (Crore) - for value per share</t>
  </si>
  <si>
    <t>Implied value per share (median EV/EBITDA x EBITDA, less net debt)</t>
  </si>
  <si>
    <t xml:space="preserve">  Low (25th percentile)</t>
  </si>
  <si>
    <t xml:space="preserve">  High (75th percentile)</t>
  </si>
  <si>
    <t>Laurus Labs Ltd - Football Field (Rs per share, valuation date 31-Mar-2026)</t>
  </si>
  <si>
    <t>Method</t>
  </si>
  <si>
    <t>Low</t>
  </si>
  <si>
    <t>Point estimate</t>
  </si>
  <si>
    <t>High</t>
  </si>
  <si>
    <t>DCF-FCFF</t>
  </si>
  <si>
    <t>DCF sensitivity grid (DCF-FCFF tab); point = Scenario 1 &amp; 2 average</t>
  </si>
  <si>
    <t>Economic Profit</t>
  </si>
  <si>
    <t>Economic Profit sensitivity grid (Economic Profit tab)</t>
  </si>
  <si>
    <t>VALUATION SUMMARY</t>
  </si>
  <si>
    <t>Value per share (Rs)</t>
  </si>
  <si>
    <t>Weight</t>
  </si>
  <si>
    <t>Equal-weighted reference value per share (3 methods)</t>
  </si>
  <si>
    <t>CMP (Rs, 30-Mar-2026 close; last trading day before valuation date)</t>
  </si>
  <si>
    <t>Held flat at FY26A absolute borrowing</t>
  </si>
  <si>
    <t>Base current borrowings held at FY26A; deficit funding added via STB plug when required</t>
  </si>
  <si>
    <t>Cash is kept non-negative; any forecast funding deficit is assumed to be met through short-term borrowings.</t>
  </si>
  <si>
    <t>20% payout ratio used for retained earnings roll-forward</t>
  </si>
  <si>
    <t>Borrowings (current, incl. deficit funding)</t>
  </si>
  <si>
    <t xml:space="preserve">Gross margin % </t>
  </si>
  <si>
    <t xml:space="preserve">Implied EBITDA margin % </t>
  </si>
  <si>
    <t>Balance Sheet Assumptions</t>
  </si>
  <si>
    <t>Balance Sheet</t>
  </si>
  <si>
    <t>Capitaline AWS. Beta against Nifty 50 on 31st March 2026</t>
  </si>
  <si>
    <t>Hold NCI at FY26A ₹131.30 Cr, unless there is a specific NCI roll-forward assumption.</t>
  </si>
  <si>
    <t>Laurus Labs Ltd - Forecast 2: Segment based Approach</t>
  </si>
  <si>
    <t xml:space="preserve">Range </t>
  </si>
  <si>
    <t>Market Comparables (  P/E method)</t>
  </si>
  <si>
    <t>EV/EBITDA method</t>
  </si>
  <si>
    <t>Contribution</t>
  </si>
  <si>
    <t>Market Comparables ( P/E method)</t>
  </si>
  <si>
    <t>CMP Line Helper</t>
  </si>
  <si>
    <t>CMP X (₹)</t>
  </si>
  <si>
    <t>Start Y</t>
  </si>
  <si>
    <t>End Y</t>
  </si>
  <si>
    <t>CMP marker</t>
  </si>
  <si>
    <t>₹992.70</t>
  </si>
  <si>
    <t>Sustainable long-term nominal growth assumption not the company’s temporary high-growth phase.</t>
  </si>
  <si>
    <t>CDMO % of total revenue (output of the segment growth rates; management's long-term 50% CDMO mix is an aspiration)</t>
  </si>
  <si>
    <t>Laurus Labs Ltd</t>
  </si>
  <si>
    <t>Market cap = Rs 53606 (Laurus Labs’ official FY2025–26 Integrated Annual Report)</t>
  </si>
  <si>
    <t>Total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</si>
</sst>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164" formatCode="0.00\x"/>
    <numFmt numFmtId="165" formatCode="0.0%"/>
    <numFmt numFmtId="166" formatCode="0.0000"/>
    <numFmt numFmtId="167" formatCode="_(* #,##0.00_);_(* \(#,##0.00\);_(* \-??_);_(@_)"/>
    <numFmt numFmtId="168" formatCode="_ * #,##0.00_ ;_ * \-#,##0.00_ ;_ * \-??_ ;_ @_ "/>
    <numFmt numFmtId="169" formatCode="0.0\x"/>
    <numFmt numFmtId="170" formatCode="#,##0.0"/>
  </numFmts>
  <fonts count="31">
    <font>
      <sz val="11"/>
      <color theme="1"/>
      <name val="Calibri"/>
    </font>
    <font>
      <sz val="10"/>
      <name val="Arial"/>
      <family val="2"/>
    </font>
    <font>
      <b/>
      <sz val="13"/>
      <color rgb="FF1F3864"/>
      <name val="Calibri"/>
      <family val="2"/>
    </font>
    <font>
      <i/>
      <sz val="9"/>
      <color rgb="FF808080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0"/>
      <name val="Calibri"/>
      <family val="2"/>
    </font>
    <font>
      <i/>
      <sz val="9"/>
      <color rgb="FFC00000"/>
      <name val="Calibri"/>
      <family val="2"/>
    </font>
    <font>
      <b/>
      <sz val="11"/>
      <color theme="1"/>
      <name val="Calibri"/>
      <family val="2"/>
    </font>
    <font>
      <b/>
      <sz val="13"/>
      <color theme="7" tint="-0.499984740745262"/>
      <name val="Calibri"/>
      <family val="2"/>
    </font>
    <font>
      <b/>
      <sz val="11"/>
      <color theme="7" tint="-0.499984740745262"/>
      <name val="Calibri"/>
      <family val="2"/>
    </font>
    <font>
      <sz val="11"/>
      <name val="Calibri"/>
      <family val="2"/>
    </font>
    <font>
      <b/>
      <sz val="13"/>
      <color rgb="FF7030A0"/>
      <name val="Calibri"/>
      <family val="2"/>
    </font>
    <font>
      <b/>
      <sz val="11"/>
      <color rgb="FF7030A0"/>
      <name val="Calibri"/>
      <family val="2"/>
    </font>
    <font>
      <b/>
      <sz val="10"/>
      <color rgb="FF1F3864"/>
      <name val="Calibri"/>
      <family val="2"/>
    </font>
    <font>
      <b/>
      <sz val="10"/>
      <name val="Calibri"/>
      <family val="2"/>
    </font>
    <font>
      <b/>
      <sz val="12"/>
      <color rgb="FF1F3864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0"/>
      <color rgb="FF7030A0"/>
      <name val="Calibri"/>
      <family val="2"/>
    </font>
    <font>
      <b/>
      <sz val="11"/>
      <color rgb="FF008000"/>
      <name val="Calibri"/>
      <family val="2"/>
    </font>
    <font>
      <sz val="11"/>
      <color rgb="FF7030A0"/>
      <name val="Calibri"/>
      <family val="2"/>
    </font>
    <font>
      <b/>
      <sz val="12"/>
      <color rgb="FF7030A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 Unicode MS"/>
    </font>
  </fonts>
  <fills count="16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4" tint="0.59978026673177287"/>
        <bgColor indexed="65"/>
      </patternFill>
    </fill>
    <fill>
      <patternFill patternType="solid">
        <fgColor rgb="FF1F3864"/>
      </patternFill>
    </fill>
    <fill>
      <patternFill patternType="solid">
        <fgColor theme="7" tint="0.39979247413556324"/>
        <bgColor indexed="65"/>
      </patternFill>
    </fill>
    <fill>
      <patternFill patternType="solid">
        <fgColor theme="5" tint="0.79979857783745845"/>
        <bgColor indexed="65"/>
      </patternFill>
    </fill>
    <fill>
      <patternFill patternType="solid">
        <fgColor rgb="FF92D050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hair">
        <color rgb="FFE7E6E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167" fontId="20" fillId="0" borderId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20" fillId="0" borderId="0"/>
    <xf numFmtId="0" fontId="20" fillId="0" borderId="0"/>
    <xf numFmtId="0" fontId="20" fillId="0" borderId="0"/>
  </cellStyleXfs>
  <cellXfs count="177">
    <xf numFmtId="0" fontId="0" fillId="0" borderId="0" xfId="0"/>
    <xf numFmtId="0" fontId="6" fillId="6" borderId="4" xfId="0" applyFont="1" applyFill="1" applyBorder="1" applyAlignment="1">
      <alignment horizontal="center" wrapText="1"/>
    </xf>
    <xf numFmtId="0" fontId="3" fillId="0" borderId="0" xfId="0" applyFont="1"/>
    <xf numFmtId="0" fontId="0" fillId="2" borderId="0" xfId="0" applyFill="1"/>
    <xf numFmtId="0" fontId="2" fillId="0" borderId="0" xfId="0" applyFont="1"/>
    <xf numFmtId="0" fontId="5" fillId="3" borderId="0" xfId="0" applyFont="1" applyFill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0" fillId="0" borderId="1" xfId="0" applyBorder="1"/>
    <xf numFmtId="4" fontId="0" fillId="0" borderId="1" xfId="0" applyNumberFormat="1" applyBorder="1"/>
    <xf numFmtId="0" fontId="6" fillId="0" borderId="1" xfId="0" applyFont="1" applyBorder="1"/>
    <xf numFmtId="4" fontId="6" fillId="0" borderId="1" xfId="0" applyNumberFormat="1" applyFont="1" applyBorder="1"/>
    <xf numFmtId="0" fontId="6" fillId="4" borderId="1" xfId="0" applyFont="1" applyFill="1" applyBorder="1"/>
    <xf numFmtId="4" fontId="6" fillId="4" borderId="1" xfId="0" applyNumberFormat="1" applyFont="1" applyFill="1" applyBorder="1"/>
    <xf numFmtId="4" fontId="7" fillId="0" borderId="0" xfId="0" applyNumberFormat="1" applyFont="1"/>
    <xf numFmtId="0" fontId="8" fillId="0" borderId="0" xfId="0" applyFont="1"/>
    <xf numFmtId="0" fontId="0" fillId="0" borderId="2" xfId="0" applyBorder="1"/>
    <xf numFmtId="0" fontId="9" fillId="0" borderId="0" xfId="0" applyFont="1"/>
    <xf numFmtId="0" fontId="10" fillId="6" borderId="3" xfId="0" applyFont="1" applyFill="1" applyBorder="1" applyAlignment="1">
      <alignment horizontal="center"/>
    </xf>
    <xf numFmtId="0" fontId="10" fillId="7" borderId="3" xfId="7" applyFont="1" applyFill="1" applyBorder="1" applyAlignment="1">
      <alignment horizontal="center"/>
    </xf>
    <xf numFmtId="0" fontId="11" fillId="0" borderId="1" xfId="0" applyFont="1" applyBorder="1"/>
    <xf numFmtId="0" fontId="10" fillId="7" borderId="4" xfId="7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wrapText="1"/>
    </xf>
    <xf numFmtId="0" fontId="0" fillId="6" borderId="1" xfId="0" applyFill="1" applyBorder="1"/>
    <xf numFmtId="0" fontId="10" fillId="7" borderId="1" xfId="7" applyFont="1" applyFill="1" applyBorder="1" applyAlignment="1">
      <alignment horizontal="center"/>
    </xf>
    <xf numFmtId="10" fontId="0" fillId="6" borderId="1" xfId="0" applyNumberFormat="1" applyFill="1" applyBorder="1"/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4" fontId="0" fillId="6" borderId="1" xfId="0" applyNumberFormat="1" applyFill="1" applyBorder="1"/>
    <xf numFmtId="166" fontId="10" fillId="6" borderId="1" xfId="0" applyNumberFormat="1" applyFont="1" applyFill="1" applyBorder="1"/>
    <xf numFmtId="166" fontId="10" fillId="7" borderId="1" xfId="7" applyNumberFormat="1" applyFont="1" applyFill="1" applyBorder="1" applyAlignment="1">
      <alignment horizontal="center"/>
    </xf>
    <xf numFmtId="0" fontId="10" fillId="6" borderId="1" xfId="0" applyFont="1" applyFill="1" applyBorder="1"/>
    <xf numFmtId="0" fontId="8" fillId="0" borderId="6" xfId="0" applyFont="1" applyBorder="1"/>
    <xf numFmtId="0" fontId="0" fillId="0" borderId="7" xfId="0" applyBorder="1"/>
    <xf numFmtId="0" fontId="0" fillId="0" borderId="7" xfId="0" applyBorder="1" applyAlignment="1">
      <alignment vertical="top" wrapText="1"/>
    </xf>
    <xf numFmtId="10" fontId="13" fillId="6" borderId="1" xfId="5" applyNumberFormat="1" applyFont="1" applyFill="1" applyBorder="1" applyAlignment="1">
      <alignment horizontal="right" wrapText="1"/>
    </xf>
    <xf numFmtId="168" fontId="13" fillId="6" borderId="1" xfId="1" applyNumberFormat="1" applyFont="1" applyFill="1" applyBorder="1" applyAlignment="1">
      <alignment horizontal="right" wrapText="1"/>
    </xf>
    <xf numFmtId="0" fontId="10" fillId="8" borderId="1" xfId="0" applyFont="1" applyFill="1" applyBorder="1"/>
    <xf numFmtId="10" fontId="10" fillId="8" borderId="1" xfId="5" applyNumberFormat="1" applyFont="1" applyFill="1" applyBorder="1"/>
    <xf numFmtId="10" fontId="20" fillId="0" borderId="0" xfId="5" applyNumberFormat="1"/>
    <xf numFmtId="0" fontId="15" fillId="0" borderId="1" xfId="0" applyFont="1" applyBorder="1" applyAlignment="1">
      <alignment horizontal="center"/>
    </xf>
    <xf numFmtId="0" fontId="6" fillId="0" borderId="0" xfId="0" applyFont="1"/>
    <xf numFmtId="2" fontId="0" fillId="6" borderId="1" xfId="0" applyNumberFormat="1" applyFill="1" applyBorder="1"/>
    <xf numFmtId="2" fontId="20" fillId="7" borderId="1" xfId="7" applyNumberFormat="1" applyFill="1" applyBorder="1" applyAlignment="1">
      <alignment horizontal="right"/>
    </xf>
    <xf numFmtId="0" fontId="0" fillId="0" borderId="10" xfId="0" applyBorder="1"/>
    <xf numFmtId="0" fontId="6" fillId="0" borderId="11" xfId="0" applyFont="1" applyBorder="1"/>
    <xf numFmtId="2" fontId="0" fillId="6" borderId="4" xfId="0" applyNumberFormat="1" applyFill="1" applyBorder="1"/>
    <xf numFmtId="2" fontId="20" fillId="7" borderId="4" xfId="7" applyNumberFormat="1" applyFill="1" applyBorder="1" applyAlignment="1">
      <alignment horizontal="right"/>
    </xf>
    <xf numFmtId="0" fontId="0" fillId="0" borderId="9" xfId="0" applyBorder="1"/>
    <xf numFmtId="0" fontId="16" fillId="9" borderId="0" xfId="0" applyFont="1" applyFill="1"/>
    <xf numFmtId="4" fontId="0" fillId="0" borderId="0" xfId="0" applyNumberFormat="1"/>
    <xf numFmtId="0" fontId="5" fillId="5" borderId="0" xfId="0" applyFont="1" applyFill="1" applyAlignment="1">
      <alignment horizontal="center" wrapText="1"/>
    </xf>
    <xf numFmtId="10" fontId="0" fillId="0" borderId="0" xfId="0" applyNumberFormat="1"/>
    <xf numFmtId="4" fontId="6" fillId="0" borderId="0" xfId="0" applyNumberFormat="1" applyFont="1"/>
    <xf numFmtId="0" fontId="17" fillId="0" borderId="13" xfId="0" applyFont="1" applyBorder="1"/>
    <xf numFmtId="0" fontId="17" fillId="0" borderId="0" xfId="0" applyFont="1"/>
    <xf numFmtId="0" fontId="18" fillId="0" borderId="0" xfId="0" applyFont="1"/>
    <xf numFmtId="4" fontId="18" fillId="0" borderId="0" xfId="0" applyNumberFormat="1" applyFont="1"/>
    <xf numFmtId="0" fontId="13" fillId="0" borderId="0" xfId="0" applyFont="1"/>
    <xf numFmtId="0" fontId="13" fillId="0" borderId="2" xfId="0" applyFont="1" applyBorder="1"/>
    <xf numFmtId="4" fontId="13" fillId="0" borderId="2" xfId="0" applyNumberFormat="1" applyFont="1" applyBorder="1"/>
    <xf numFmtId="164" fontId="13" fillId="0" borderId="2" xfId="0" applyNumberFormat="1" applyFont="1" applyBorder="1"/>
    <xf numFmtId="3" fontId="13" fillId="0" borderId="2" xfId="0" applyNumberFormat="1" applyFont="1" applyBorder="1"/>
    <xf numFmtId="169" fontId="13" fillId="0" borderId="2" xfId="0" applyNumberFormat="1" applyFont="1" applyBorder="1"/>
    <xf numFmtId="10" fontId="13" fillId="0" borderId="2" xfId="0" applyNumberFormat="1" applyFont="1" applyBorder="1"/>
    <xf numFmtId="0" fontId="19" fillId="11" borderId="2" xfId="0" applyFont="1" applyFill="1" applyBorder="1"/>
    <xf numFmtId="4" fontId="19" fillId="11" borderId="2" xfId="0" applyNumberFormat="1" applyFont="1" applyFill="1" applyBorder="1"/>
    <xf numFmtId="164" fontId="19" fillId="11" borderId="2" xfId="0" applyNumberFormat="1" applyFont="1" applyFill="1" applyBorder="1"/>
    <xf numFmtId="3" fontId="19" fillId="11" borderId="2" xfId="0" applyNumberFormat="1" applyFont="1" applyFill="1" applyBorder="1"/>
    <xf numFmtId="169" fontId="19" fillId="11" borderId="2" xfId="0" applyNumberFormat="1" applyFont="1" applyFill="1" applyBorder="1"/>
    <xf numFmtId="10" fontId="19" fillId="11" borderId="2" xfId="0" applyNumberFormat="1" applyFont="1" applyFill="1" applyBorder="1"/>
    <xf numFmtId="164" fontId="13" fillId="0" borderId="0" xfId="0" applyNumberFormat="1" applyFont="1"/>
    <xf numFmtId="0" fontId="13" fillId="0" borderId="0" xfId="0" applyFont="1" applyAlignment="1">
      <alignment horizontal="center" wrapText="1"/>
    </xf>
    <xf numFmtId="164" fontId="6" fillId="0" borderId="0" xfId="0" applyNumberFormat="1" applyFont="1"/>
    <xf numFmtId="169" fontId="6" fillId="0" borderId="0" xfId="0" applyNumberFormat="1" applyFont="1"/>
    <xf numFmtId="2" fontId="13" fillId="0" borderId="0" xfId="0" applyNumberFormat="1" applyFont="1"/>
    <xf numFmtId="4" fontId="13" fillId="0" borderId="0" xfId="0" applyNumberFormat="1" applyFont="1"/>
    <xf numFmtId="9" fontId="13" fillId="0" borderId="0" xfId="0" applyNumberFormat="1" applyFont="1"/>
    <xf numFmtId="9" fontId="0" fillId="0" borderId="0" xfId="0" applyNumberFormat="1"/>
    <xf numFmtId="165" fontId="7" fillId="0" borderId="0" xfId="0" applyNumberFormat="1" applyFont="1"/>
    <xf numFmtId="165" fontId="0" fillId="0" borderId="0" xfId="0" applyNumberFormat="1"/>
    <xf numFmtId="169" fontId="0" fillId="0" borderId="0" xfId="0" applyNumberFormat="1"/>
    <xf numFmtId="2" fontId="0" fillId="0" borderId="0" xfId="0" applyNumberFormat="1"/>
    <xf numFmtId="4" fontId="0" fillId="12" borderId="1" xfId="0" applyNumberFormat="1" applyFill="1" applyBorder="1"/>
    <xf numFmtId="4" fontId="16" fillId="12" borderId="1" xfId="0" applyNumberFormat="1" applyFont="1" applyFill="1" applyBorder="1"/>
    <xf numFmtId="4" fontId="0" fillId="13" borderId="1" xfId="0" applyNumberFormat="1" applyFill="1" applyBorder="1"/>
    <xf numFmtId="4" fontId="17" fillId="13" borderId="1" xfId="0" applyNumberFormat="1" applyFont="1" applyFill="1" applyBorder="1"/>
    <xf numFmtId="4" fontId="16" fillId="13" borderId="1" xfId="0" applyNumberFormat="1" applyFont="1" applyFill="1" applyBorder="1"/>
    <xf numFmtId="0" fontId="20" fillId="0" borderId="0" xfId="0" applyFont="1"/>
    <xf numFmtId="0" fontId="21" fillId="0" borderId="0" xfId="0" applyFont="1"/>
    <xf numFmtId="4" fontId="22" fillId="12" borderId="1" xfId="0" applyNumberFormat="1" applyFont="1" applyFill="1" applyBorder="1"/>
    <xf numFmtId="4" fontId="22" fillId="13" borderId="1" xfId="0" applyNumberFormat="1" applyFont="1" applyFill="1" applyBorder="1"/>
    <xf numFmtId="4" fontId="18" fillId="12" borderId="1" xfId="0" applyNumberFormat="1" applyFont="1" applyFill="1" applyBorder="1"/>
    <xf numFmtId="4" fontId="18" fillId="13" borderId="1" xfId="0" applyNumberFormat="1" applyFont="1" applyFill="1" applyBorder="1"/>
    <xf numFmtId="0" fontId="0" fillId="0" borderId="14" xfId="0" applyBorder="1"/>
    <xf numFmtId="0" fontId="23" fillId="0" borderId="0" xfId="0" applyFont="1"/>
    <xf numFmtId="0" fontId="21" fillId="0" borderId="9" xfId="0" applyFont="1" applyBorder="1"/>
    <xf numFmtId="10" fontId="20" fillId="13" borderId="1" xfId="5" applyNumberFormat="1" applyFill="1" applyBorder="1"/>
    <xf numFmtId="0" fontId="6" fillId="6" borderId="15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20" fillId="0" borderId="1" xfId="0" applyFont="1" applyBorder="1"/>
    <xf numFmtId="10" fontId="0" fillId="0" borderId="1" xfId="0" applyNumberFormat="1" applyBorder="1"/>
    <xf numFmtId="10" fontId="0" fillId="7" borderId="1" xfId="0" applyNumberFormat="1" applyFill="1" applyBorder="1"/>
    <xf numFmtId="4" fontId="0" fillId="7" borderId="1" xfId="0" applyNumberFormat="1" applyFill="1" applyBorder="1"/>
    <xf numFmtId="167" fontId="20" fillId="13" borderId="1" xfId="1" applyFill="1" applyBorder="1"/>
    <xf numFmtId="165" fontId="20" fillId="0" borderId="1" xfId="5" applyNumberFormat="1" applyBorder="1"/>
    <xf numFmtId="0" fontId="9" fillId="0" borderId="1" xfId="0" applyFont="1" applyBorder="1"/>
    <xf numFmtId="0" fontId="0" fillId="0" borderId="0" xfId="0" applyAlignment="1">
      <alignment wrapText="1"/>
    </xf>
    <xf numFmtId="0" fontId="6" fillId="0" borderId="12" xfId="0" applyFont="1" applyBorder="1"/>
    <xf numFmtId="4" fontId="6" fillId="12" borderId="1" xfId="0" applyNumberFormat="1" applyFont="1" applyFill="1" applyBorder="1"/>
    <xf numFmtId="4" fontId="6" fillId="13" borderId="1" xfId="0" applyNumberFormat="1" applyFont="1" applyFill="1" applyBorder="1"/>
    <xf numFmtId="0" fontId="21" fillId="0" borderId="7" xfId="0" applyFont="1" applyBorder="1"/>
    <xf numFmtId="4" fontId="21" fillId="12" borderId="1" xfId="0" applyNumberFormat="1" applyFont="1" applyFill="1" applyBorder="1"/>
    <xf numFmtId="4" fontId="21" fillId="13" borderId="1" xfId="0" applyNumberFormat="1" applyFont="1" applyFill="1" applyBorder="1"/>
    <xf numFmtId="0" fontId="22" fillId="0" borderId="12" xfId="0" applyFont="1" applyBorder="1"/>
    <xf numFmtId="0" fontId="25" fillId="0" borderId="12" xfId="0" applyFont="1" applyBorder="1"/>
    <xf numFmtId="10" fontId="0" fillId="13" borderId="1" xfId="0" applyNumberFormat="1" applyFill="1" applyBorder="1"/>
    <xf numFmtId="166" fontId="0" fillId="13" borderId="1" xfId="0" applyNumberFormat="1" applyFill="1" applyBorder="1"/>
    <xf numFmtId="0" fontId="26" fillId="12" borderId="1" xfId="0" applyFont="1" applyFill="1" applyBorder="1"/>
    <xf numFmtId="0" fontId="24" fillId="12" borderId="1" xfId="0" applyFont="1" applyFill="1" applyBorder="1"/>
    <xf numFmtId="0" fontId="18" fillId="14" borderId="0" xfId="0" applyFont="1" applyFill="1"/>
    <xf numFmtId="4" fontId="18" fillId="14" borderId="0" xfId="0" applyNumberFormat="1" applyFont="1" applyFill="1"/>
    <xf numFmtId="0" fontId="24" fillId="0" borderId="16" xfId="0" applyFont="1" applyBorder="1" applyAlignment="1">
      <alignment horizontal="center"/>
    </xf>
    <xf numFmtId="0" fontId="0" fillId="12" borderId="1" xfId="0" applyFill="1" applyBorder="1"/>
    <xf numFmtId="10" fontId="0" fillId="12" borderId="1" xfId="0" applyNumberFormat="1" applyFill="1" applyBorder="1"/>
    <xf numFmtId="0" fontId="0" fillId="13" borderId="1" xfId="0" applyFill="1" applyBorder="1"/>
    <xf numFmtId="0" fontId="15" fillId="0" borderId="16" xfId="0" applyFont="1" applyBorder="1" applyAlignment="1">
      <alignment horizontal="center"/>
    </xf>
    <xf numFmtId="165" fontId="6" fillId="0" borderId="1" xfId="0" applyNumberFormat="1" applyFont="1" applyBorder="1"/>
    <xf numFmtId="3" fontId="13" fillId="0" borderId="1" xfId="0" applyNumberFormat="1" applyFont="1" applyBorder="1"/>
    <xf numFmtId="0" fontId="4" fillId="15" borderId="0" xfId="0" applyFont="1" applyFill="1" applyAlignment="1">
      <alignment horizontal="center" wrapText="1"/>
    </xf>
    <xf numFmtId="165" fontId="28" fillId="15" borderId="0" xfId="5" applyNumberFormat="1" applyFont="1" applyFill="1"/>
    <xf numFmtId="165" fontId="0" fillId="0" borderId="1" xfId="0" applyNumberFormat="1" applyBorder="1"/>
    <xf numFmtId="3" fontId="0" fillId="0" borderId="1" xfId="0" applyNumberFormat="1" applyBorder="1"/>
    <xf numFmtId="0" fontId="4" fillId="12" borderId="1" xfId="0" applyFont="1" applyFill="1" applyBorder="1"/>
    <xf numFmtId="4" fontId="20" fillId="13" borderId="1" xfId="1" applyNumberFormat="1" applyFill="1" applyBorder="1"/>
    <xf numFmtId="169" fontId="0" fillId="0" borderId="1" xfId="0" applyNumberFormat="1" applyBorder="1"/>
    <xf numFmtId="10" fontId="20" fillId="0" borderId="1" xfId="5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6" fillId="14" borderId="0" xfId="0" applyFont="1" applyFill="1"/>
    <xf numFmtId="4" fontId="6" fillId="14" borderId="0" xfId="0" applyNumberFormat="1" applyFont="1" applyFill="1"/>
    <xf numFmtId="0" fontId="20" fillId="0" borderId="2" xfId="0" applyFont="1" applyBorder="1"/>
    <xf numFmtId="167" fontId="20" fillId="0" borderId="1" xfId="1" applyBorder="1"/>
    <xf numFmtId="2" fontId="10" fillId="14" borderId="0" xfId="0" applyNumberFormat="1" applyFont="1" applyFill="1"/>
    <xf numFmtId="9" fontId="20" fillId="0" borderId="1" xfId="5" applyBorder="1"/>
    <xf numFmtId="0" fontId="0" fillId="0" borderId="5" xfId="0" applyBorder="1"/>
    <xf numFmtId="0" fontId="19" fillId="0" borderId="1" xfId="0" applyFont="1" applyBorder="1"/>
    <xf numFmtId="10" fontId="20" fillId="0" borderId="1" xfId="0" applyNumberFormat="1" applyFont="1" applyBorder="1"/>
    <xf numFmtId="170" fontId="0" fillId="0" borderId="1" xfId="0" applyNumberFormat="1" applyBorder="1"/>
    <xf numFmtId="170" fontId="0" fillId="14" borderId="1" xfId="0" applyNumberFormat="1" applyFill="1" applyBorder="1"/>
    <xf numFmtId="0" fontId="13" fillId="0" borderId="1" xfId="0" applyFont="1" applyBorder="1"/>
    <xf numFmtId="4" fontId="10" fillId="0" borderId="1" xfId="0" applyNumberFormat="1" applyFont="1" applyBorder="1"/>
    <xf numFmtId="0" fontId="29" fillId="0" borderId="0" xfId="0" applyFont="1"/>
    <xf numFmtId="9" fontId="0" fillId="10" borderId="1" xfId="0" applyNumberFormat="1" applyFill="1" applyBorder="1"/>
    <xf numFmtId="0" fontId="20" fillId="0" borderId="0" xfId="0" applyFont="1" applyAlignment="1">
      <alignment wrapText="1"/>
    </xf>
    <xf numFmtId="0" fontId="20" fillId="0" borderId="5" xfId="0" applyFont="1" applyBorder="1" applyAlignment="1">
      <alignment vertical="top" wrapText="1"/>
    </xf>
    <xf numFmtId="0" fontId="30" fillId="0" borderId="0" xfId="0" applyFont="1" applyAlignment="1">
      <alignment vertical="center"/>
    </xf>
    <xf numFmtId="0" fontId="15" fillId="0" borderId="1" xfId="0" applyFont="1" applyBorder="1"/>
    <xf numFmtId="169" fontId="15" fillId="0" borderId="1" xfId="0" applyNumberFormat="1" applyFont="1" applyBorder="1"/>
    <xf numFmtId="10" fontId="15" fillId="0" borderId="1" xfId="0" applyNumberFormat="1" applyFont="1" applyBorder="1"/>
    <xf numFmtId="2" fontId="15" fillId="0" borderId="1" xfId="0" applyNumberFormat="1" applyFont="1" applyBorder="1" applyAlignment="1">
      <alignment horizontal="right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 wrapText="1"/>
    </xf>
    <xf numFmtId="0" fontId="6" fillId="6" borderId="8" xfId="0" applyFont="1" applyFill="1" applyBorder="1" applyAlignment="1">
      <alignment horizontal="center" wrapText="1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0" borderId="0" xfId="0" applyFont="1" applyAlignment="1">
      <alignment horizontal="center"/>
    </xf>
  </cellXfs>
  <cellStyles count="8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E2F3"/>
      <rgbColor rgb="FFE7E6E6"/>
      <rgbColor rgb="FFD9D9D9"/>
      <rgbColor rgb="FFB3B3B3"/>
      <rgbColor rgb="FFD9E1F2"/>
      <rgbColor rgb="FFB3A2C7"/>
      <rgbColor rgb="FFF2DCDB"/>
      <rgbColor rgb="FF4472C4"/>
      <rgbColor rgb="FF33CCCC"/>
      <rgbColor rgb="FF92D050"/>
      <rgbColor rgb="FFFFCC00"/>
      <rgbColor rgb="FFFF9900"/>
      <rgbColor rgb="FFFF6600"/>
      <rgbColor rgb="FF666666"/>
      <rgbColor rgb="FF878787"/>
      <rgbColor rgb="FF1F3864"/>
      <rgbColor rgb="FF339966"/>
      <rgbColor rgb="FF003300"/>
      <rgbColor rgb="FF333300"/>
      <rgbColor rgb="FF993300"/>
      <rgbColor rgb="FF993366"/>
      <rgbColor rgb="FF604A7B"/>
      <rgbColor rgb="FF4031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Valuation Summary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0860360478196038"/>
          <c:y val="0.12632253323172632"/>
          <c:w val="0.75895519081202889"/>
          <c:h val="0.7882386028901698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'Football Field'!$B$4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Field'!$A$5:$A$8</c:f>
              <c:strCache>
                <c:ptCount val="4"/>
                <c:pt idx="0">
                  <c:v>DCF-FCFF</c:v>
                </c:pt>
                <c:pt idx="1">
                  <c:v>Market Comparables (  P/E method)</c:v>
                </c:pt>
                <c:pt idx="2">
                  <c:v>EV/EBITDA method</c:v>
                </c:pt>
                <c:pt idx="3">
                  <c:v>Economic Profit</c:v>
                </c:pt>
              </c:strCache>
            </c:strRef>
          </c:cat>
          <c:val>
            <c:numRef>
              <c:f>'Football Field'!$B$5:$B$8</c:f>
              <c:numCache>
                <c:formatCode>#,##0</c:formatCode>
                <c:ptCount val="4"/>
                <c:pt idx="0">
                  <c:v>83.384038868729476</c:v>
                </c:pt>
                <c:pt idx="1">
                  <c:v>534.25946569707355</c:v>
                </c:pt>
                <c:pt idx="2">
                  <c:v>497.42235522100202</c:v>
                </c:pt>
                <c:pt idx="3">
                  <c:v>83.384038868729476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9-434E-A3C6-235BB75EEACA}"/>
            </c:ext>
          </c:extLst>
        </c:ser>
        <c:ser>
          <c:idx val="1"/>
          <c:order val="1"/>
          <c:tx>
            <c:strRef>
              <c:f>'Football Field'!$D$4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4472C4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2-E784-4C17-8A72-73D321B01FE0}"/>
              </c:ext>
            </c:extLst>
          </c:dPt>
          <c:dPt>
            <c:idx val="1"/>
            <c:invertIfNegative val="1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0-E784-4C17-8A72-73D321B01FE0}"/>
              </c:ext>
            </c:extLst>
          </c:dPt>
          <c:dPt>
            <c:idx val="2"/>
            <c:invertIfNegative val="1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1-E784-4C17-8A72-73D321B01FE0}"/>
              </c:ext>
            </c:extLst>
          </c:dPt>
          <c:dPt>
            <c:idx val="3"/>
            <c:invertIfNegative val="1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4-E784-4C17-8A72-73D321B01FE0}"/>
              </c:ext>
            </c:extLst>
          </c:dPt>
          <c:dLbls>
            <c:dLbl>
              <c:idx val="0"/>
              <c:layout>
                <c:manualLayout>
                  <c:x val="7.048591885727763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84-4C17-8A72-73D321B01FE0}"/>
                </c:ext>
              </c:extLst>
            </c:dLbl>
            <c:dLbl>
              <c:idx val="1"/>
              <c:layout>
                <c:manualLayout>
                  <c:x val="0.26183535197635177"/>
                  <c:y val="1.7141152362966524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84-4C17-8A72-73D321B01FE0}"/>
                </c:ext>
              </c:extLst>
            </c:dLbl>
            <c:dLbl>
              <c:idx val="2"/>
              <c:layout>
                <c:manualLayout>
                  <c:x val="0.25009384012588032"/>
                  <c:y val="-3.1004919235122705E-3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4E7CED90-874E-41A1-94C0-7685578C59C4}" type="VALUE">
                      <a:rPr lang="en-US"/>
                      <a:pPr>
                        <a:defRPr/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120563641337209E-2"/>
                      <c:h val="6.14849700558308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784-4C17-8A72-73D321B01FE0}"/>
                </c:ext>
              </c:extLst>
            </c:dLbl>
            <c:dLbl>
              <c:idx val="3"/>
              <c:layout>
                <c:manualLayout>
                  <c:x val="5.3163558043616603E-2"/>
                  <c:y val="-6.383948240757286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84-4C17-8A72-73D321B01FE0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Field'!$A$5:$A$8</c:f>
              <c:strCache>
                <c:ptCount val="4"/>
                <c:pt idx="0">
                  <c:v>DCF-FCFF</c:v>
                </c:pt>
                <c:pt idx="1">
                  <c:v>Market Comparables (  P/E method)</c:v>
                </c:pt>
                <c:pt idx="2">
                  <c:v>EV/EBITDA method</c:v>
                </c:pt>
                <c:pt idx="3">
                  <c:v>Economic Profit</c:v>
                </c:pt>
              </c:strCache>
            </c:strRef>
          </c:cat>
          <c:val>
            <c:numRef>
              <c:f>'Football Field'!$D$5:$D$8</c:f>
              <c:numCache>
                <c:formatCode>#,##0</c:formatCode>
                <c:ptCount val="4"/>
                <c:pt idx="0">
                  <c:v>181.76884496102795</c:v>
                </c:pt>
                <c:pt idx="1">
                  <c:v>1245.9613210785312</c:v>
                </c:pt>
                <c:pt idx="2">
                  <c:v>1082.60290230193</c:v>
                </c:pt>
                <c:pt idx="3">
                  <c:v>181.76884496102804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57C9-434E-A3C6-235BB75EEACA}"/>
            </c:ext>
          </c:extLst>
        </c:ser>
        <c:ser>
          <c:idx val="2"/>
          <c:order val="2"/>
          <c:tx>
            <c:v>CMP</c:v>
          </c:tx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9-0D1F-4528-9FE6-6FCE48A20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451909"/>
        <c:axId val="50743443"/>
      </c:barChart>
      <c:catAx>
        <c:axId val="8645190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crossAx val="50743443"/>
        <c:crosses val="autoZero"/>
        <c:auto val="1"/>
        <c:lblAlgn val="ctr"/>
        <c:lblOffset val="100"/>
        <c:noMultiLvlLbl val="0"/>
      </c:catAx>
      <c:valAx>
        <c:axId val="50743443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crossAx val="864519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</a:ln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1796400</xdr:colOff>
      <xdr:row>2</xdr:row>
      <xdr:rowOff>173880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1706760</xdr:colOff>
      <xdr:row>2</xdr:row>
      <xdr:rowOff>177120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1764720</xdr:colOff>
      <xdr:row>2</xdr:row>
      <xdr:rowOff>163800</xdr:rowOff>
    </xdr:to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133350</xdr:rowOff>
    </xdr:from>
    <xdr:to>
      <xdr:col>4</xdr:col>
      <xdr:colOff>918881</xdr:colOff>
      <xdr:row>41</xdr:row>
      <xdr:rowOff>120650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2551545</xdr:colOff>
      <xdr:row>21</xdr:row>
      <xdr:rowOff>46181</xdr:rowOff>
    </xdr:from>
    <xdr:ext cx="6858000" cy="3476625"/>
    <xdr:pic>
      <xdr:nvPicPr>
        <xdr:cNvPr id="5" name="Image 2" descr="Picture">
          <a:extLst>
            <a:ext uri="{FF2B5EF4-FFF2-40B4-BE49-F238E27FC236}">
              <a16:creationId xmlns:a16="http://schemas.microsoft.com/office/drawing/2014/main" id="{C4949F0C-F59F-41AC-9988-404407FFA84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51545" y="3798454"/>
          <a:ext cx="6858000" cy="3476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opLeftCell="C22" zoomScale="85" zoomScaleNormal="85" workbookViewId="0">
      <selection activeCell="O42" sqref="O42"/>
    </sheetView>
  </sheetViews>
  <sheetFormatPr defaultColWidth="8.6328125" defaultRowHeight="14.5"/>
  <cols>
    <col min="1" max="1" width="51.6328125" bestFit="1" customWidth="1"/>
    <col min="2" max="6" width="11" customWidth="1"/>
    <col min="7" max="7" width="3" style="3" customWidth="1"/>
    <col min="8" max="8" width="32" customWidth="1"/>
    <col min="9" max="13" width="11" customWidth="1"/>
    <col min="15" max="15" width="9.6328125" bestFit="1" customWidth="1"/>
  </cols>
  <sheetData>
    <row r="1" spans="1:13" ht="16.5" customHeight="1">
      <c r="A1" s="4"/>
    </row>
    <row r="2" spans="1:13" ht="14.25" customHeight="1">
      <c r="A2" s="2"/>
    </row>
    <row r="4" spans="1:13" ht="14.25" customHeight="1">
      <c r="A4" s="162" t="s">
        <v>0</v>
      </c>
      <c r="B4" s="162"/>
      <c r="C4" s="162"/>
      <c r="D4" s="162"/>
      <c r="E4" s="162"/>
      <c r="F4" s="162"/>
      <c r="H4" s="162" t="s">
        <v>1</v>
      </c>
      <c r="I4" s="162"/>
      <c r="J4" s="162"/>
      <c r="K4" s="162"/>
      <c r="L4" s="162"/>
      <c r="M4" s="162"/>
    </row>
    <row r="5" spans="1:13" ht="14.25" customHeight="1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H5" s="6" t="s">
        <v>2</v>
      </c>
      <c r="I5" s="6" t="s">
        <v>3</v>
      </c>
      <c r="J5" s="6" t="s">
        <v>4</v>
      </c>
      <c r="K5" s="6" t="s">
        <v>5</v>
      </c>
      <c r="L5" s="6" t="s">
        <v>6</v>
      </c>
      <c r="M5" s="6" t="s">
        <v>7</v>
      </c>
    </row>
    <row r="6" spans="1:13" ht="14.25" customHeight="1">
      <c r="A6" s="7" t="s">
        <v>8</v>
      </c>
      <c r="B6" s="8">
        <v>4935.57</v>
      </c>
      <c r="C6" s="8">
        <v>6040.55</v>
      </c>
      <c r="D6" s="8">
        <v>5040.83</v>
      </c>
      <c r="E6" s="8">
        <v>5553.96</v>
      </c>
      <c r="F6" s="8">
        <v>6812.9</v>
      </c>
      <c r="H6" s="7" t="s">
        <v>9</v>
      </c>
      <c r="I6" s="8">
        <v>2257.29</v>
      </c>
      <c r="J6" s="8">
        <v>3015.96</v>
      </c>
      <c r="K6" s="8">
        <v>3446.37</v>
      </c>
      <c r="L6" s="8">
        <v>3668.46</v>
      </c>
      <c r="M6" s="8">
        <v>3873.23</v>
      </c>
    </row>
    <row r="7" spans="1:13" ht="14.25" customHeight="1">
      <c r="A7" s="7" t="s">
        <v>10</v>
      </c>
      <c r="B7" s="8">
        <v>13.58</v>
      </c>
      <c r="C7" s="8">
        <v>1.44</v>
      </c>
      <c r="D7" s="8">
        <v>20.73</v>
      </c>
      <c r="E7" s="8">
        <v>59.93</v>
      </c>
      <c r="F7" s="8">
        <v>48.38</v>
      </c>
      <c r="H7" s="7" t="s">
        <v>11</v>
      </c>
      <c r="I7" s="8">
        <v>138.05000000000001</v>
      </c>
      <c r="J7" s="8">
        <v>133.43</v>
      </c>
      <c r="K7" s="8">
        <v>178.32</v>
      </c>
      <c r="L7" s="8">
        <v>189.14</v>
      </c>
      <c r="M7" s="8">
        <v>232.71</v>
      </c>
    </row>
    <row r="8" spans="1:13" ht="14.25" customHeight="1">
      <c r="A8" s="9" t="s">
        <v>12</v>
      </c>
      <c r="B8" s="10">
        <f>SUM(B6:B7)</f>
        <v>4949.1499999999996</v>
      </c>
      <c r="C8" s="10">
        <f>SUM(C6:C7)</f>
        <v>6041.99</v>
      </c>
      <c r="D8" s="10">
        <f>SUM(D6:D7)</f>
        <v>5061.5599999999995</v>
      </c>
      <c r="E8" s="10">
        <f>SUM(E6:E7)</f>
        <v>5613.89</v>
      </c>
      <c r="F8" s="10">
        <f>SUM(F6:F7)</f>
        <v>6861.28</v>
      </c>
      <c r="H8" s="7" t="s">
        <v>13</v>
      </c>
      <c r="I8" s="8">
        <v>813.22</v>
      </c>
      <c r="J8" s="8">
        <v>550.78</v>
      </c>
      <c r="K8" s="8">
        <v>422.84</v>
      </c>
      <c r="L8" s="8">
        <v>458.36</v>
      </c>
      <c r="M8" s="8">
        <v>773.28</v>
      </c>
    </row>
    <row r="9" spans="1:13" ht="14.25" customHeight="1">
      <c r="A9" s="7" t="s">
        <v>14</v>
      </c>
      <c r="B9" s="8">
        <v>2269.13</v>
      </c>
      <c r="C9" s="8">
        <v>2596.5700000000002</v>
      </c>
      <c r="D9" s="8">
        <v>2422.38</v>
      </c>
      <c r="E9" s="8">
        <v>2428.5500000000002</v>
      </c>
      <c r="F9" s="8">
        <v>2794.34</v>
      </c>
      <c r="H9" s="7" t="s">
        <v>15</v>
      </c>
      <c r="I9" s="8">
        <v>246.3</v>
      </c>
      <c r="J9" s="8">
        <v>246.3</v>
      </c>
      <c r="K9" s="8">
        <v>246.3</v>
      </c>
      <c r="L9" s="8">
        <v>246.3</v>
      </c>
      <c r="M9" s="8">
        <v>246.3</v>
      </c>
    </row>
    <row r="10" spans="1:13" ht="14.25" customHeight="1">
      <c r="A10" s="7" t="s">
        <v>16</v>
      </c>
      <c r="B10" s="8">
        <v>145.81</v>
      </c>
      <c r="C10" s="8">
        <v>155.71</v>
      </c>
      <c r="D10" s="8">
        <v>110.92</v>
      </c>
      <c r="E10" s="8">
        <v>105.36</v>
      </c>
      <c r="F10" s="8">
        <v>172.56</v>
      </c>
      <c r="H10" s="7" t="s">
        <v>17</v>
      </c>
      <c r="I10" s="8">
        <v>10.83</v>
      </c>
      <c r="J10" s="8">
        <v>12.93</v>
      </c>
      <c r="K10" s="8">
        <v>19.02</v>
      </c>
      <c r="L10" s="8">
        <v>19.32</v>
      </c>
      <c r="M10" s="8">
        <v>18.399999999999999</v>
      </c>
    </row>
    <row r="11" spans="1:13" ht="14.25" customHeight="1">
      <c r="A11" s="7" t="s">
        <v>18</v>
      </c>
      <c r="B11" s="8">
        <v>-221.17</v>
      </c>
      <c r="C11" s="8">
        <v>22.04</v>
      </c>
      <c r="D11" s="8">
        <v>-100.88</v>
      </c>
      <c r="E11" s="8">
        <v>-55.93</v>
      </c>
      <c r="F11" s="8">
        <v>-271.44</v>
      </c>
      <c r="H11" s="7" t="s">
        <v>19</v>
      </c>
      <c r="I11" s="8">
        <v>30.81</v>
      </c>
      <c r="J11" s="8">
        <v>49.9</v>
      </c>
      <c r="K11" s="8">
        <v>123.98</v>
      </c>
      <c r="L11" s="8">
        <v>233.26</v>
      </c>
      <c r="M11" s="8">
        <v>309.27</v>
      </c>
    </row>
    <row r="12" spans="1:13" ht="14.25" customHeight="1">
      <c r="A12" s="7" t="s">
        <v>20</v>
      </c>
      <c r="B12" s="8">
        <v>501.53</v>
      </c>
      <c r="C12" s="8">
        <v>580.64</v>
      </c>
      <c r="D12" s="8">
        <v>639.92999999999995</v>
      </c>
      <c r="E12" s="8">
        <v>719.52</v>
      </c>
      <c r="F12" s="8">
        <v>895.45</v>
      </c>
      <c r="H12" s="7" t="s">
        <v>21</v>
      </c>
      <c r="I12" s="8">
        <v>60.27</v>
      </c>
      <c r="J12" s="8">
        <v>49.41</v>
      </c>
      <c r="K12" s="8">
        <v>47.38</v>
      </c>
      <c r="L12" s="8">
        <v>48.66</v>
      </c>
      <c r="M12" s="8">
        <v>44.26</v>
      </c>
    </row>
    <row r="13" spans="1:13" ht="14.25" customHeight="1">
      <c r="A13" s="7" t="s">
        <v>22</v>
      </c>
      <c r="B13" s="8">
        <v>817.84</v>
      </c>
      <c r="C13" s="8">
        <v>1093.4000000000001</v>
      </c>
      <c r="D13" s="8">
        <v>1190.98</v>
      </c>
      <c r="E13" s="8">
        <v>1301.18</v>
      </c>
      <c r="F13" s="8">
        <v>1444.28</v>
      </c>
      <c r="H13" s="7" t="s">
        <v>23</v>
      </c>
      <c r="I13" s="8">
        <v>6.77</v>
      </c>
      <c r="J13" s="8">
        <v>20.440000000000001</v>
      </c>
      <c r="K13" s="8">
        <v>2.97</v>
      </c>
      <c r="L13" s="8">
        <v>6.94</v>
      </c>
      <c r="M13" s="8">
        <v>2.44</v>
      </c>
    </row>
    <row r="14" spans="1:13" ht="14.25" customHeight="1">
      <c r="A14" s="9" t="s">
        <v>24</v>
      </c>
      <c r="B14" s="10">
        <f>SUM(B9:B13)</f>
        <v>3513.1400000000003</v>
      </c>
      <c r="C14" s="10">
        <f>SUM(C9:C13)</f>
        <v>4448.3600000000006</v>
      </c>
      <c r="D14" s="10">
        <f>SUM(D9:D13)</f>
        <v>4263.33</v>
      </c>
      <c r="E14" s="10">
        <f>SUM(E9:E13)</f>
        <v>4498.68</v>
      </c>
      <c r="F14" s="10">
        <f>SUM(F9:F13)</f>
        <v>5035.1899999999996</v>
      </c>
      <c r="H14" s="7" t="s">
        <v>25</v>
      </c>
      <c r="I14" s="8">
        <v>59.89</v>
      </c>
      <c r="J14" s="8">
        <v>119.57</v>
      </c>
      <c r="K14" s="8">
        <v>64.88</v>
      </c>
      <c r="L14" s="8">
        <v>132.81</v>
      </c>
      <c r="M14" s="8">
        <v>182.09</v>
      </c>
    </row>
    <row r="15" spans="1:13" ht="14.25" customHeight="1">
      <c r="A15" s="9" t="s">
        <v>26</v>
      </c>
      <c r="B15" s="10">
        <f>B8-B14</f>
        <v>1436.0099999999993</v>
      </c>
      <c r="C15" s="10">
        <f>C8-C14</f>
        <v>1593.6299999999992</v>
      </c>
      <c r="D15" s="10">
        <f>D8-D14</f>
        <v>798.22999999999956</v>
      </c>
      <c r="E15" s="10">
        <f>E8-E14</f>
        <v>1115.21</v>
      </c>
      <c r="F15" s="10">
        <f>F8-F14</f>
        <v>1826.0900000000001</v>
      </c>
      <c r="H15" s="9" t="s">
        <v>27</v>
      </c>
      <c r="I15" s="10">
        <f>SUM(I6:I14)</f>
        <v>3623.4300000000003</v>
      </c>
      <c r="J15" s="10">
        <f>SUM(J6:J14)</f>
        <v>4198.72</v>
      </c>
      <c r="K15" s="10">
        <f>SUM(K6:K14)</f>
        <v>4552.0600000000004</v>
      </c>
      <c r="L15" s="10">
        <f>SUM(L6:L14)</f>
        <v>5003.25</v>
      </c>
      <c r="M15" s="10">
        <f>SUM(M6:M14)</f>
        <v>5681.9799999999987</v>
      </c>
    </row>
    <row r="16" spans="1:13" ht="14.25" customHeight="1">
      <c r="A16" s="7" t="s">
        <v>28</v>
      </c>
      <c r="B16" s="8">
        <v>251.49</v>
      </c>
      <c r="C16" s="8">
        <v>324.08</v>
      </c>
      <c r="D16" s="8">
        <v>384.58</v>
      </c>
      <c r="E16" s="8">
        <v>430.09</v>
      </c>
      <c r="F16" s="8">
        <v>480.05</v>
      </c>
      <c r="H16" s="7" t="s">
        <v>29</v>
      </c>
      <c r="I16" s="8">
        <v>1760.3</v>
      </c>
      <c r="J16" s="8">
        <v>1684.81</v>
      </c>
      <c r="K16" s="8">
        <v>1845.41</v>
      </c>
      <c r="L16" s="8">
        <v>1936.54</v>
      </c>
      <c r="M16" s="8">
        <v>2342.16</v>
      </c>
    </row>
    <row r="17" spans="1:13" ht="14.25" customHeight="1">
      <c r="A17" s="7" t="s">
        <v>30</v>
      </c>
      <c r="B17" s="8">
        <v>-1.72</v>
      </c>
      <c r="C17" s="8">
        <v>-4.5599999999999996</v>
      </c>
      <c r="D17" s="8">
        <v>-5.61</v>
      </c>
      <c r="E17" s="8">
        <v>-15.17</v>
      </c>
      <c r="F17" s="8">
        <v>-6.57</v>
      </c>
      <c r="H17" s="7" t="s">
        <v>31</v>
      </c>
      <c r="I17" s="8">
        <v>1354.18</v>
      </c>
      <c r="J17" s="8">
        <v>1580.44</v>
      </c>
      <c r="K17" s="8">
        <v>1662.92</v>
      </c>
      <c r="L17" s="8">
        <v>2007.16</v>
      </c>
      <c r="M17" s="8">
        <v>2155.04</v>
      </c>
    </row>
    <row r="18" spans="1:13" ht="14.25" customHeight="1">
      <c r="A18" s="7" t="s">
        <v>32</v>
      </c>
      <c r="B18" s="8">
        <v>102.39</v>
      </c>
      <c r="C18" s="8">
        <v>165.17</v>
      </c>
      <c r="D18" s="8">
        <v>182.9</v>
      </c>
      <c r="E18" s="8">
        <v>216</v>
      </c>
      <c r="F18" s="8">
        <v>170.73</v>
      </c>
      <c r="H18" s="7" t="s">
        <v>33</v>
      </c>
      <c r="I18" s="8">
        <v>75.349999999999994</v>
      </c>
      <c r="J18" s="8">
        <v>45.67</v>
      </c>
      <c r="K18" s="8">
        <v>138.94</v>
      </c>
      <c r="L18" s="8">
        <v>99.54</v>
      </c>
      <c r="M18" s="8">
        <v>112.66</v>
      </c>
    </row>
    <row r="19" spans="1:13" ht="14.25" customHeight="1">
      <c r="A19" s="9" t="s">
        <v>34</v>
      </c>
      <c r="B19" s="10">
        <f>B15-B16-B17-B18</f>
        <v>1083.8499999999992</v>
      </c>
      <c r="C19" s="10">
        <f>C15-C16-C17-C18</f>
        <v>1108.9399999999991</v>
      </c>
      <c r="D19" s="10">
        <f>D15-D16-D17-D18</f>
        <v>236.35999999999959</v>
      </c>
      <c r="E19" s="10">
        <f>E15-E16-E17-E18</f>
        <v>484.29000000000008</v>
      </c>
      <c r="F19" s="10">
        <f>F15-F16-F17-F18</f>
        <v>1181.8800000000001</v>
      </c>
      <c r="H19" s="7" t="s">
        <v>35</v>
      </c>
      <c r="I19" s="8">
        <v>0.59</v>
      </c>
      <c r="J19" s="8">
        <v>2.79</v>
      </c>
      <c r="K19" s="8">
        <v>2.71</v>
      </c>
      <c r="L19" s="8">
        <v>44.67</v>
      </c>
      <c r="M19" s="8">
        <v>1.04</v>
      </c>
    </row>
    <row r="20" spans="1:13" ht="14.25" customHeight="1">
      <c r="A20" s="7" t="s">
        <v>36</v>
      </c>
      <c r="B20" s="8">
        <v>251.42</v>
      </c>
      <c r="C20" s="8">
        <v>312.3</v>
      </c>
      <c r="D20" s="8">
        <v>68.150000000000006</v>
      </c>
      <c r="E20" s="8">
        <v>129.88</v>
      </c>
      <c r="F20" s="8">
        <v>292.02999999999997</v>
      </c>
      <c r="H20" s="7" t="s">
        <v>37</v>
      </c>
      <c r="I20" s="8">
        <v>0.64</v>
      </c>
      <c r="J20" s="8">
        <v>0.97</v>
      </c>
      <c r="K20" s="8">
        <v>0.95</v>
      </c>
      <c r="L20" s="8">
        <v>0.93</v>
      </c>
      <c r="M20" s="8">
        <v>0.93</v>
      </c>
    </row>
    <row r="21" spans="1:13" ht="14.25" customHeight="1">
      <c r="A21" s="9" t="s">
        <v>38</v>
      </c>
      <c r="B21" s="10">
        <f>B19-B20</f>
        <v>832.42999999999927</v>
      </c>
      <c r="C21" s="10">
        <f>C19-C20</f>
        <v>796.63999999999919</v>
      </c>
      <c r="D21" s="10">
        <f>D19-D20</f>
        <v>168.20999999999958</v>
      </c>
      <c r="E21" s="10">
        <f>E19-E20</f>
        <v>354.41000000000008</v>
      </c>
      <c r="F21" s="10">
        <f>F19-F20</f>
        <v>889.85000000000014</v>
      </c>
      <c r="H21" s="7" t="s">
        <v>39</v>
      </c>
      <c r="I21" s="8">
        <v>1.95</v>
      </c>
      <c r="J21" s="8">
        <v>16.309999999999999</v>
      </c>
      <c r="K21" s="8">
        <v>8.82</v>
      </c>
      <c r="L21" s="8">
        <v>5.86</v>
      </c>
      <c r="M21" s="8">
        <v>3.21</v>
      </c>
    </row>
    <row r="22" spans="1:13" ht="14.25" customHeight="1">
      <c r="A22" s="7" t="s">
        <v>40</v>
      </c>
      <c r="B22" s="8">
        <v>-0.2</v>
      </c>
      <c r="C22" s="8">
        <v>-3.21</v>
      </c>
      <c r="D22" s="8">
        <v>-5.94</v>
      </c>
      <c r="E22" s="8">
        <v>3.93</v>
      </c>
      <c r="F22" s="8">
        <v>0.28999999999999998</v>
      </c>
      <c r="H22" s="7" t="s">
        <v>41</v>
      </c>
      <c r="I22" s="8">
        <v>151.6</v>
      </c>
      <c r="J22" s="8">
        <v>130.69</v>
      </c>
      <c r="K22" s="8">
        <v>175.22</v>
      </c>
      <c r="L22" s="8">
        <v>237.62</v>
      </c>
      <c r="M22" s="8">
        <v>214.17</v>
      </c>
    </row>
    <row r="23" spans="1:13" ht="14.25" customHeight="1">
      <c r="A23" s="9" t="s">
        <v>42</v>
      </c>
      <c r="B23" s="10">
        <f>B21+B22</f>
        <v>832.22999999999922</v>
      </c>
      <c r="C23" s="10">
        <f>C21+C22</f>
        <v>793.42999999999915</v>
      </c>
      <c r="D23" s="10">
        <f>D21+D22</f>
        <v>162.26999999999958</v>
      </c>
      <c r="E23" s="10">
        <f>E21+E22</f>
        <v>358.34000000000009</v>
      </c>
      <c r="F23" s="10">
        <f>F21+F22</f>
        <v>890.1400000000001</v>
      </c>
      <c r="H23" s="9" t="s">
        <v>43</v>
      </c>
      <c r="I23" s="10">
        <f>SUM(I16:I22)</f>
        <v>3344.6099999999997</v>
      </c>
      <c r="J23" s="10">
        <f>SUM(J16:J22)</f>
        <v>3461.68</v>
      </c>
      <c r="K23" s="10">
        <f>SUM(K16:K22)</f>
        <v>3834.97</v>
      </c>
      <c r="L23" s="10">
        <f>SUM(L16:L22)</f>
        <v>4332.32</v>
      </c>
      <c r="M23" s="10">
        <f>SUM(M16:M22)</f>
        <v>4829.21</v>
      </c>
    </row>
    <row r="24" spans="1:13" ht="14.25" customHeight="1">
      <c r="A24" s="7" t="s">
        <v>44</v>
      </c>
      <c r="B24" s="8">
        <v>4.71</v>
      </c>
      <c r="C24" s="8">
        <v>3.32</v>
      </c>
      <c r="D24" s="8">
        <v>1.72</v>
      </c>
      <c r="E24" s="8">
        <v>0.02</v>
      </c>
      <c r="F24" s="8">
        <v>1.35</v>
      </c>
      <c r="H24" s="11" t="s">
        <v>45</v>
      </c>
      <c r="I24" s="12">
        <f>I15+I23</f>
        <v>6968.04</v>
      </c>
      <c r="J24" s="12">
        <f>J15+J23</f>
        <v>7660.4</v>
      </c>
      <c r="K24" s="12">
        <f>K15+K23</f>
        <v>8387.0300000000007</v>
      </c>
      <c r="L24" s="12">
        <f>L15+L23</f>
        <v>9335.57</v>
      </c>
      <c r="M24" s="12">
        <f>M15+M23</f>
        <v>10511.189999999999</v>
      </c>
    </row>
    <row r="25" spans="1:13" ht="14.25" customHeight="1">
      <c r="A25" s="9" t="s">
        <v>46</v>
      </c>
      <c r="B25" s="10">
        <f>B23-B24</f>
        <v>827.51999999999919</v>
      </c>
      <c r="C25" s="10">
        <f>C23-C24</f>
        <v>790.1099999999991</v>
      </c>
      <c r="D25" s="10">
        <f>D23-D24</f>
        <v>160.54999999999959</v>
      </c>
      <c r="E25" s="10">
        <f>E23-E24</f>
        <v>358.32000000000011</v>
      </c>
      <c r="F25" s="10">
        <f>F23-F24</f>
        <v>888.79000000000008</v>
      </c>
      <c r="H25" s="7" t="s">
        <v>47</v>
      </c>
      <c r="I25" s="8">
        <v>107.47</v>
      </c>
      <c r="J25" s="8">
        <v>107.73</v>
      </c>
      <c r="K25" s="8">
        <v>107.79</v>
      </c>
      <c r="L25" s="8">
        <v>107.85</v>
      </c>
      <c r="M25" s="8">
        <v>107.97</v>
      </c>
    </row>
    <row r="26" spans="1:13" ht="14.25" customHeight="1">
      <c r="H26" s="7" t="s">
        <v>48</v>
      </c>
      <c r="I26" s="8">
        <v>3243.72</v>
      </c>
      <c r="J26" s="8">
        <v>3929.8</v>
      </c>
      <c r="K26" s="8">
        <v>4003.16</v>
      </c>
      <c r="L26" s="8">
        <v>4364.71</v>
      </c>
      <c r="M26" s="8">
        <v>5192.09</v>
      </c>
    </row>
    <row r="27" spans="1:13" ht="14.25" customHeight="1">
      <c r="A27" s="162" t="s">
        <v>49</v>
      </c>
      <c r="B27" s="162"/>
      <c r="C27" s="162"/>
      <c r="D27" s="162"/>
      <c r="E27" s="162"/>
      <c r="F27" s="162"/>
      <c r="H27" s="9" t="s">
        <v>50</v>
      </c>
      <c r="I27" s="10">
        <f>I25+I26</f>
        <v>3351.1899999999996</v>
      </c>
      <c r="J27" s="10">
        <f>J25+J26</f>
        <v>4037.53</v>
      </c>
      <c r="K27" s="10">
        <f>K25+K26</f>
        <v>4110.95</v>
      </c>
      <c r="L27" s="10">
        <f>L25+L26</f>
        <v>4472.5600000000004</v>
      </c>
      <c r="M27" s="10">
        <f>M25+M26</f>
        <v>5300.06</v>
      </c>
    </row>
    <row r="28" spans="1:13" ht="14.25" customHeight="1">
      <c r="A28" s="7" t="s">
        <v>51</v>
      </c>
      <c r="B28" s="8"/>
      <c r="C28" s="8"/>
      <c r="D28" s="8">
        <v>665.69</v>
      </c>
      <c r="E28" s="8">
        <v>601.65</v>
      </c>
      <c r="F28" s="8">
        <v>1623.5</v>
      </c>
      <c r="H28" s="7" t="s">
        <v>52</v>
      </c>
      <c r="I28" s="8">
        <v>7.86</v>
      </c>
      <c r="J28" s="8">
        <v>11.13</v>
      </c>
      <c r="K28" s="8">
        <v>4.62</v>
      </c>
      <c r="L28" s="8">
        <v>129.96</v>
      </c>
      <c r="M28" s="8">
        <v>131.30000000000001</v>
      </c>
    </row>
    <row r="29" spans="1:13" ht="14.25" customHeight="1">
      <c r="A29" s="7" t="s">
        <v>53</v>
      </c>
      <c r="B29" s="8">
        <v>-876.84</v>
      </c>
      <c r="C29" s="8">
        <v>-990.16</v>
      </c>
      <c r="D29" s="8">
        <v>-678.31</v>
      </c>
      <c r="E29" s="8">
        <v>-641</v>
      </c>
      <c r="F29" s="8">
        <v>-1069.95</v>
      </c>
      <c r="H29" s="9" t="s">
        <v>54</v>
      </c>
      <c r="I29" s="10">
        <f>I27+I28</f>
        <v>3359.0499999999997</v>
      </c>
      <c r="J29" s="10">
        <f>J27+J28</f>
        <v>4048.6600000000003</v>
      </c>
      <c r="K29" s="10">
        <f>K27+K28</f>
        <v>4115.57</v>
      </c>
      <c r="L29" s="10">
        <f>L27+L28</f>
        <v>4602.5200000000004</v>
      </c>
      <c r="M29" s="10">
        <f>M27+M28</f>
        <v>5431.3600000000006</v>
      </c>
    </row>
    <row r="30" spans="1:13" ht="14.25" customHeight="1">
      <c r="A30" s="163"/>
      <c r="B30" s="163"/>
      <c r="C30" s="163"/>
      <c r="D30" s="163"/>
      <c r="E30" s="163"/>
      <c r="F30" s="163"/>
      <c r="H30" s="7" t="s">
        <v>55</v>
      </c>
      <c r="I30" s="8">
        <v>596.34</v>
      </c>
      <c r="J30" s="8">
        <v>761.42</v>
      </c>
      <c r="K30" s="8">
        <v>798.23</v>
      </c>
      <c r="L30" s="8">
        <v>645.58000000000004</v>
      </c>
      <c r="M30" s="8">
        <v>611.34</v>
      </c>
    </row>
    <row r="31" spans="1:13" ht="14.25" customHeight="1">
      <c r="A31" s="162" t="s">
        <v>71</v>
      </c>
      <c r="B31" s="162"/>
      <c r="C31" s="162"/>
      <c r="D31" s="162"/>
      <c r="E31" s="162"/>
      <c r="F31" s="162"/>
      <c r="H31" s="7" t="s">
        <v>56</v>
      </c>
      <c r="I31" s="8">
        <v>39.630000000000003</v>
      </c>
      <c r="J31" s="8">
        <v>37.44</v>
      </c>
      <c r="K31" s="8">
        <v>62.16</v>
      </c>
      <c r="L31" s="8">
        <v>62.19</v>
      </c>
      <c r="M31" s="8">
        <v>111.49</v>
      </c>
    </row>
    <row r="32" spans="1:13" ht="14.25" customHeight="1">
      <c r="A32" s="6" t="s">
        <v>2</v>
      </c>
      <c r="B32" s="6" t="s">
        <v>3</v>
      </c>
      <c r="C32" s="6" t="s">
        <v>4</v>
      </c>
      <c r="D32" s="6" t="s">
        <v>5</v>
      </c>
      <c r="E32" s="6" t="s">
        <v>6</v>
      </c>
      <c r="F32" s="6" t="s">
        <v>7</v>
      </c>
      <c r="H32" s="7" t="s">
        <v>57</v>
      </c>
      <c r="I32" s="8">
        <v>83.2</v>
      </c>
      <c r="J32" s="8">
        <v>91.2</v>
      </c>
      <c r="K32" s="8">
        <v>42.33</v>
      </c>
      <c r="L32" s="8">
        <v>0</v>
      </c>
      <c r="M32" s="8">
        <v>20.63</v>
      </c>
    </row>
    <row r="33" spans="1:15" ht="14.25" customHeight="1">
      <c r="A33" s="7" t="s">
        <v>72</v>
      </c>
      <c r="B33" s="104">
        <f t="shared" ref="B33:E33" si="0">(B15-B16)/(I24-I44)</f>
        <v>0.27630317492529771</v>
      </c>
      <c r="C33" s="104">
        <f t="shared" si="0"/>
        <v>0.24283014609402184</v>
      </c>
      <c r="D33" s="104">
        <f t="shared" si="0"/>
        <v>7.8420778235935268E-2</v>
      </c>
      <c r="E33" s="104">
        <f t="shared" si="0"/>
        <v>0.11820871830706454</v>
      </c>
      <c r="F33" s="104">
        <f>(F15-F16)/(M24-M44)</f>
        <v>0.19576599532269892</v>
      </c>
      <c r="H33" s="7" t="s">
        <v>58</v>
      </c>
      <c r="I33" s="8">
        <v>72.67</v>
      </c>
      <c r="J33" s="8">
        <v>81.47</v>
      </c>
      <c r="K33" s="8">
        <v>93.47</v>
      </c>
      <c r="L33" s="8">
        <v>106.09</v>
      </c>
      <c r="M33" s="8">
        <v>132.09</v>
      </c>
    </row>
    <row r="34" spans="1:15" ht="14.25" customHeight="1">
      <c r="A34" s="7" t="s">
        <v>73</v>
      </c>
      <c r="B34" s="130">
        <f t="shared" ref="B34:E34" si="1">B25/I27</f>
        <v>0.24693317896030942</v>
      </c>
      <c r="C34" s="130">
        <f t="shared" si="1"/>
        <v>0.19569142520303232</v>
      </c>
      <c r="D34" s="130">
        <f t="shared" si="1"/>
        <v>3.9054233206436369E-2</v>
      </c>
      <c r="E34" s="130">
        <f t="shared" si="1"/>
        <v>8.0115191299837241E-2</v>
      </c>
      <c r="F34" s="130">
        <f>F25/M27</f>
        <v>0.16769432798873976</v>
      </c>
      <c r="H34" s="7" t="s">
        <v>59</v>
      </c>
      <c r="I34" s="8">
        <v>69.11</v>
      </c>
      <c r="J34" s="8">
        <v>82.45</v>
      </c>
      <c r="K34" s="8">
        <v>57.04</v>
      </c>
      <c r="L34" s="8">
        <v>31.87</v>
      </c>
      <c r="M34" s="8">
        <v>29.38</v>
      </c>
    </row>
    <row r="35" spans="1:15" ht="14.25" customHeight="1">
      <c r="A35" s="7" t="s">
        <v>74</v>
      </c>
      <c r="B35" s="140">
        <f t="shared" ref="B35:E35" si="2">(I30+I37)/I29</f>
        <v>0.51563090754826524</v>
      </c>
      <c r="C35" s="140">
        <f t="shared" si="2"/>
        <v>0.48706732597945979</v>
      </c>
      <c r="D35" s="140">
        <f t="shared" si="2"/>
        <v>0.6091622788580926</v>
      </c>
      <c r="E35" s="140">
        <f t="shared" si="2"/>
        <v>0.58513162354536208</v>
      </c>
      <c r="F35" s="140">
        <f>(M30+M37)/M29</f>
        <v>0.44141614623225123</v>
      </c>
      <c r="H35" s="7" t="s">
        <v>60</v>
      </c>
      <c r="I35" s="8">
        <v>67.03</v>
      </c>
      <c r="J35" s="8">
        <v>125.5</v>
      </c>
      <c r="K35" s="8">
        <v>105.95</v>
      </c>
      <c r="L35" s="8">
        <v>347.6</v>
      </c>
      <c r="M35" s="8">
        <v>539.47</v>
      </c>
    </row>
    <row r="36" spans="1:15" ht="14.25" customHeight="1">
      <c r="A36" s="7" t="s">
        <v>75</v>
      </c>
      <c r="B36" s="130">
        <f t="shared" ref="B36:E36" si="3">(B15-B16)/B6</f>
        <v>0.23999659613783197</v>
      </c>
      <c r="C36" s="130">
        <f t="shared" si="3"/>
        <v>0.21017125923963864</v>
      </c>
      <c r="D36" s="130">
        <f t="shared" si="3"/>
        <v>8.2059898865861292E-2</v>
      </c>
      <c r="E36" s="130">
        <f t="shared" si="3"/>
        <v>0.12335702813848139</v>
      </c>
      <c r="F36" s="130">
        <f>(F15-F16)/F6</f>
        <v>0.19757225263837724</v>
      </c>
      <c r="H36" s="9" t="s">
        <v>61</v>
      </c>
      <c r="I36" s="10">
        <f>SUM(I30:I35)</f>
        <v>927.98</v>
      </c>
      <c r="J36" s="10">
        <f>SUM(J30:J35)</f>
        <v>1179.48</v>
      </c>
      <c r="K36" s="10">
        <f>SUM(K30:K35)</f>
        <v>1159.18</v>
      </c>
      <c r="L36" s="10">
        <f>SUM(L30:L35)</f>
        <v>1193.33</v>
      </c>
      <c r="M36" s="10">
        <f>SUM(M30:M35)</f>
        <v>1444.4</v>
      </c>
      <c r="O36" s="11" t="s">
        <v>386</v>
      </c>
    </row>
    <row r="37" spans="1:15" ht="14.25" customHeight="1">
      <c r="A37" s="7" t="s">
        <v>76</v>
      </c>
      <c r="B37" s="130">
        <f t="shared" ref="B37:E37" si="4">B25/B6</f>
        <v>0.16766452507005256</v>
      </c>
      <c r="C37" s="130">
        <f t="shared" si="4"/>
        <v>0.13080100321990532</v>
      </c>
      <c r="D37" s="130">
        <f t="shared" si="4"/>
        <v>3.1849913605497424E-2</v>
      </c>
      <c r="E37" s="130">
        <f t="shared" si="4"/>
        <v>6.4516129032258077E-2</v>
      </c>
      <c r="F37" s="130">
        <f>F25/F6</f>
        <v>0.1304569272996815</v>
      </c>
      <c r="H37" s="7" t="s">
        <v>62</v>
      </c>
      <c r="I37" s="8">
        <v>1135.69</v>
      </c>
      <c r="J37" s="8">
        <v>1210.55</v>
      </c>
      <c r="K37" s="8">
        <v>1708.82</v>
      </c>
      <c r="L37" s="8">
        <v>2047.5</v>
      </c>
      <c r="M37" s="8">
        <v>1786.15</v>
      </c>
      <c r="O37" s="8">
        <v>611.34</v>
      </c>
    </row>
    <row r="38" spans="1:15" ht="14.25" customHeight="1">
      <c r="H38" s="7" t="s">
        <v>63</v>
      </c>
      <c r="I38" s="8">
        <v>876.37</v>
      </c>
      <c r="J38" s="8">
        <v>710.65</v>
      </c>
      <c r="K38" s="8">
        <v>1051.24</v>
      </c>
      <c r="L38" s="8">
        <v>958.49</v>
      </c>
      <c r="M38" s="8">
        <v>1252.0899999999999</v>
      </c>
      <c r="O38" s="8">
        <v>1786.15</v>
      </c>
    </row>
    <row r="39" spans="1:15" ht="14.25" customHeight="1">
      <c r="H39" s="7" t="s">
        <v>64</v>
      </c>
      <c r="I39" s="8">
        <v>5</v>
      </c>
      <c r="J39" s="8">
        <v>5.68</v>
      </c>
      <c r="K39" s="8">
        <v>8.19</v>
      </c>
      <c r="L39" s="8">
        <v>8.4600000000000009</v>
      </c>
      <c r="M39" s="8">
        <v>9.5</v>
      </c>
      <c r="O39" s="8">
        <v>111.49</v>
      </c>
    </row>
    <row r="40" spans="1:15" ht="14.25" customHeight="1">
      <c r="H40" s="7" t="s">
        <v>65</v>
      </c>
      <c r="I40" s="8">
        <v>300.7</v>
      </c>
      <c r="J40" s="8">
        <v>192.33</v>
      </c>
      <c r="K40" s="8">
        <v>138.76</v>
      </c>
      <c r="L40" s="8">
        <v>337.61</v>
      </c>
      <c r="M40" s="8">
        <v>333.58</v>
      </c>
      <c r="O40" s="8">
        <v>9.5</v>
      </c>
    </row>
    <row r="41" spans="1:15" ht="14.25" customHeight="1">
      <c r="H41" s="7" t="s">
        <v>66</v>
      </c>
      <c r="I41" s="8">
        <v>309.06</v>
      </c>
      <c r="J41" s="8">
        <v>227.96</v>
      </c>
      <c r="K41" s="8">
        <v>144.25</v>
      </c>
      <c r="L41" s="8">
        <v>101.12</v>
      </c>
      <c r="M41" s="8">
        <v>161.94999999999999</v>
      </c>
      <c r="O41" s="8"/>
    </row>
    <row r="42" spans="1:15" ht="14.25" customHeight="1">
      <c r="H42" s="7" t="s">
        <v>67</v>
      </c>
      <c r="I42" s="8">
        <v>16.489999999999998</v>
      </c>
      <c r="J42" s="8">
        <v>20.09</v>
      </c>
      <c r="K42" s="8">
        <v>24.81</v>
      </c>
      <c r="L42" s="8">
        <v>29.34</v>
      </c>
      <c r="M42" s="8">
        <v>37.89</v>
      </c>
      <c r="O42" s="49">
        <f>SUM(O37:O41)</f>
        <v>2518.48</v>
      </c>
    </row>
    <row r="43" spans="1:15" ht="14.25" customHeight="1">
      <c r="H43" s="7" t="s">
        <v>68</v>
      </c>
      <c r="I43" s="8">
        <v>37.700000000000003</v>
      </c>
      <c r="J43" s="8">
        <v>65</v>
      </c>
      <c r="K43" s="8">
        <v>36.21</v>
      </c>
      <c r="L43" s="8">
        <v>57.2</v>
      </c>
      <c r="M43" s="8">
        <v>54.27</v>
      </c>
    </row>
    <row r="44" spans="1:15" ht="14.25" customHeight="1">
      <c r="H44" s="9" t="s">
        <v>69</v>
      </c>
      <c r="I44" s="10">
        <f>SUM(I37:I43)</f>
        <v>2681.0099999999993</v>
      </c>
      <c r="J44" s="10">
        <f>SUM(J37:J43)</f>
        <v>2432.2600000000002</v>
      </c>
      <c r="K44" s="10">
        <f>SUM(K37:K43)</f>
        <v>3112.28</v>
      </c>
      <c r="L44" s="10">
        <f>SUM(L37:L43)</f>
        <v>3539.72</v>
      </c>
      <c r="M44" s="10">
        <f>SUM(M37:M43)</f>
        <v>3635.4299999999994</v>
      </c>
    </row>
    <row r="45" spans="1:15" ht="14.25" customHeight="1">
      <c r="H45" s="11" t="s">
        <v>70</v>
      </c>
      <c r="I45" s="12">
        <f>I29+I36+I44</f>
        <v>6968.0399999999991</v>
      </c>
      <c r="J45" s="12">
        <f>J29+J36+J44</f>
        <v>7660.4000000000005</v>
      </c>
      <c r="K45" s="12">
        <f>K29+K36+K44</f>
        <v>8387.0300000000007</v>
      </c>
      <c r="L45" s="12">
        <f>L29+L36+L44</f>
        <v>9335.57</v>
      </c>
      <c r="M45" s="12">
        <f>M29+M36+M44</f>
        <v>10511.189999999999</v>
      </c>
    </row>
    <row r="47" spans="1:15" ht="14.25" customHeight="1">
      <c r="I47" s="13"/>
      <c r="J47" s="13"/>
      <c r="K47" s="13"/>
      <c r="L47" s="13"/>
      <c r="M47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</sheetData>
  <mergeCells count="5">
    <mergeCell ref="A4:F4"/>
    <mergeCell ref="H4:M4"/>
    <mergeCell ref="A27:F27"/>
    <mergeCell ref="A30:F30"/>
    <mergeCell ref="A31:F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62"/>
  <sheetViews>
    <sheetView tabSelected="1" workbookViewId="0">
      <selection activeCell="E8" sqref="E8"/>
    </sheetView>
  </sheetViews>
  <sheetFormatPr defaultColWidth="8.6328125" defaultRowHeight="14.5"/>
  <cols>
    <col min="1" max="1" width="74.7265625" bestFit="1" customWidth="1"/>
    <col min="2" max="9" width="11" customWidth="1"/>
    <col min="10" max="10" width="68" customWidth="1"/>
    <col min="11" max="11" width="33.6328125" bestFit="1" customWidth="1"/>
  </cols>
  <sheetData>
    <row r="2" spans="1:11" ht="14.25" customHeight="1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</row>
    <row r="3" spans="1:11" ht="14.25" customHeight="1">
      <c r="A3" s="16"/>
      <c r="B3" s="17" t="s">
        <v>77</v>
      </c>
      <c r="C3" s="17" t="s">
        <v>78</v>
      </c>
      <c r="D3" s="17" t="s">
        <v>79</v>
      </c>
      <c r="E3" s="18" t="s">
        <v>80</v>
      </c>
      <c r="F3" s="18" t="s">
        <v>81</v>
      </c>
      <c r="G3" s="18" t="s">
        <v>82</v>
      </c>
      <c r="H3" s="18" t="s">
        <v>83</v>
      </c>
      <c r="I3" s="18" t="s">
        <v>84</v>
      </c>
    </row>
    <row r="4" spans="1:11" ht="16.5" customHeight="1">
      <c r="A4" s="19" t="s">
        <v>85</v>
      </c>
      <c r="B4" s="161" t="s">
        <v>86</v>
      </c>
      <c r="C4" s="161"/>
      <c r="D4" s="161"/>
      <c r="E4" s="161" t="s">
        <v>87</v>
      </c>
      <c r="F4" s="161"/>
      <c r="G4" s="161"/>
      <c r="H4" s="161"/>
      <c r="I4" s="161"/>
    </row>
    <row r="5" spans="1:11" ht="14.25" customHeight="1">
      <c r="A5" s="21" t="s">
        <v>2</v>
      </c>
      <c r="B5" s="21" t="s">
        <v>5</v>
      </c>
      <c r="C5" s="21" t="s">
        <v>6</v>
      </c>
      <c r="D5" s="21" t="s">
        <v>7</v>
      </c>
      <c r="E5" s="23" t="s">
        <v>88</v>
      </c>
      <c r="F5" s="23" t="s">
        <v>89</v>
      </c>
      <c r="G5" s="23" t="s">
        <v>90</v>
      </c>
      <c r="H5" s="23" t="s">
        <v>91</v>
      </c>
      <c r="I5" s="23" t="s">
        <v>92</v>
      </c>
      <c r="J5" s="97" t="s">
        <v>93</v>
      </c>
      <c r="K5" s="21" t="s">
        <v>94</v>
      </c>
    </row>
    <row r="6" spans="1:11" ht="14.25" customHeight="1">
      <c r="A6" s="98" t="s">
        <v>95</v>
      </c>
      <c r="B6" s="22"/>
      <c r="C6" s="22"/>
      <c r="D6" s="22"/>
      <c r="E6" s="23"/>
      <c r="F6" s="23"/>
      <c r="G6" s="23"/>
      <c r="H6" s="23"/>
      <c r="I6" s="23"/>
    </row>
    <row r="7" spans="1:11" ht="43.5" customHeight="1">
      <c r="A7" s="7" t="s">
        <v>96</v>
      </c>
      <c r="B7" s="24">
        <f>Actuals!D6/Actuals!C6-1</f>
        <v>-0.16550148579185675</v>
      </c>
      <c r="C7" s="24">
        <f>Actuals!E6/Actuals!D6-1</f>
        <v>0.10179474411951994</v>
      </c>
      <c r="D7" s="24">
        <f>Actuals!F6/Actuals!E6-1</f>
        <v>0.2266743008592067</v>
      </c>
      <c r="E7" s="96">
        <v>0.15</v>
      </c>
      <c r="F7" s="96">
        <v>0.15</v>
      </c>
      <c r="G7" s="96">
        <v>0.15</v>
      </c>
      <c r="H7" s="96">
        <v>0.15</v>
      </c>
      <c r="I7" s="96">
        <v>0.15</v>
      </c>
      <c r="J7" s="25" t="s">
        <v>97</v>
      </c>
      <c r="K7" s="15" t="s">
        <v>98</v>
      </c>
    </row>
    <row r="8" spans="1:11" ht="28.5" customHeight="1">
      <c r="A8" s="99" t="s">
        <v>364</v>
      </c>
      <c r="B8" s="24">
        <f>1-(Actuals!D9+Actuals!D10+Actuals!D11)/Actuals!D6</f>
        <v>0.51745645062420276</v>
      </c>
      <c r="C8" s="24">
        <f>1-(Actuals!E9+Actuals!E10+Actuals!E11)/Actuals!E6</f>
        <v>0.55383546154455554</v>
      </c>
      <c r="D8" s="24">
        <f>1-(Actuals!F9+Actuals!F10+Actuals!F11)/Actuals!F6</f>
        <v>0.60435937706409892</v>
      </c>
      <c r="E8" s="96">
        <v>0.6</v>
      </c>
      <c r="F8" s="96">
        <v>0.6</v>
      </c>
      <c r="G8" s="96">
        <v>0.6</v>
      </c>
      <c r="H8" s="96">
        <v>0.6</v>
      </c>
      <c r="I8" s="96">
        <v>0.6</v>
      </c>
      <c r="J8" s="25" t="s">
        <v>99</v>
      </c>
      <c r="K8" s="15" t="s">
        <v>100</v>
      </c>
    </row>
    <row r="9" spans="1:11" ht="14.25" customHeight="1">
      <c r="A9" s="7" t="s">
        <v>101</v>
      </c>
      <c r="B9" s="24">
        <f>Actuals!D12/Actuals!D6</f>
        <v>0.12694933175687337</v>
      </c>
      <c r="C9" s="24">
        <f>Actuals!E12/Actuals!E6</f>
        <v>0.12955080699176802</v>
      </c>
      <c r="D9" s="24">
        <f>Actuals!F12/Actuals!F6</f>
        <v>0.13143448458072188</v>
      </c>
      <c r="E9" s="96">
        <v>0.13</v>
      </c>
      <c r="F9" s="96">
        <v>0.13</v>
      </c>
      <c r="G9" s="96">
        <v>0.13</v>
      </c>
      <c r="H9" s="96">
        <v>0.13</v>
      </c>
      <c r="I9" s="96">
        <v>0.13</v>
      </c>
      <c r="J9" s="25" t="s">
        <v>102</v>
      </c>
      <c r="K9" s="15" t="s">
        <v>103</v>
      </c>
    </row>
    <row r="10" spans="1:11" ht="28.5" customHeight="1">
      <c r="A10" s="7" t="s">
        <v>104</v>
      </c>
      <c r="B10" s="24">
        <f>Actuals!D13/Actuals!D6</f>
        <v>0.23626664656415711</v>
      </c>
      <c r="C10" s="24">
        <f>Actuals!E13/Actuals!E6</f>
        <v>0.23427968512556807</v>
      </c>
      <c r="D10" s="24">
        <f>Actuals!F13/Actuals!F6</f>
        <v>0.21199195643558544</v>
      </c>
      <c r="E10" s="96">
        <v>0.21</v>
      </c>
      <c r="F10" s="96">
        <v>0.21</v>
      </c>
      <c r="G10" s="96">
        <v>0.21</v>
      </c>
      <c r="H10" s="96">
        <v>0.21</v>
      </c>
      <c r="I10" s="96">
        <v>0.21</v>
      </c>
      <c r="J10" s="25" t="s">
        <v>105</v>
      </c>
      <c r="K10" s="15" t="s">
        <v>103</v>
      </c>
    </row>
    <row r="11" spans="1:11" ht="28.5" customHeight="1">
      <c r="A11" s="99" t="s">
        <v>365</v>
      </c>
      <c r="B11" s="24">
        <f>Actuals!D15/Actuals!D6</f>
        <v>0.15835289029782784</v>
      </c>
      <c r="C11" s="24">
        <f>Actuals!E15/Actuals!E6</f>
        <v>0.20079546845854129</v>
      </c>
      <c r="D11" s="24">
        <f>Actuals!F15/Actuals!F6</f>
        <v>0.2680341704707247</v>
      </c>
      <c r="E11" s="96">
        <f>E8-E9-E10</f>
        <v>0.26</v>
      </c>
      <c r="F11" s="96">
        <f>F8-F9-F10</f>
        <v>0.26</v>
      </c>
      <c r="G11" s="96">
        <f>G8-G9-G10</f>
        <v>0.26</v>
      </c>
      <c r="H11" s="96">
        <f>H8-H9-H10</f>
        <v>0.26</v>
      </c>
      <c r="I11" s="96">
        <f>I8-I9-I10</f>
        <v>0.26</v>
      </c>
      <c r="J11" s="25" t="s">
        <v>106</v>
      </c>
      <c r="K11" s="15"/>
    </row>
    <row r="12" spans="1:11" ht="14.25" customHeight="1">
      <c r="A12" s="7"/>
      <c r="B12" s="22"/>
      <c r="C12" s="22"/>
      <c r="D12" s="22"/>
      <c r="E12" s="96"/>
      <c r="F12" s="96"/>
      <c r="G12" s="96"/>
      <c r="H12" s="96"/>
      <c r="I12" s="96"/>
      <c r="J12" s="26"/>
    </row>
    <row r="13" spans="1:11" ht="14.25" customHeight="1">
      <c r="A13" s="98" t="s">
        <v>107</v>
      </c>
      <c r="B13" s="22"/>
      <c r="C13" s="22"/>
      <c r="D13" s="22"/>
      <c r="E13" s="96"/>
      <c r="F13" s="96"/>
      <c r="G13" s="96"/>
      <c r="H13" s="96"/>
      <c r="I13" s="96"/>
      <c r="J13" s="26"/>
    </row>
    <row r="14" spans="1:11" ht="28.5" customHeight="1">
      <c r="A14" s="7" t="s">
        <v>108</v>
      </c>
      <c r="B14" s="24">
        <f>Actuals!D16/Actuals!D6</f>
        <v>7.6292991431966564E-2</v>
      </c>
      <c r="C14" s="24">
        <f>Actuals!E16/Actuals!E6</f>
        <v>7.743844032005992E-2</v>
      </c>
      <c r="D14" s="24">
        <f>Actuals!F16/Actuals!F6</f>
        <v>7.0461917832347468E-2</v>
      </c>
      <c r="E14" s="96">
        <v>7.4999999999999997E-2</v>
      </c>
      <c r="F14" s="96">
        <v>7.4999999999999997E-2</v>
      </c>
      <c r="G14" s="96">
        <v>7.4999999999999997E-2</v>
      </c>
      <c r="H14" s="96">
        <v>7.4999999999999997E-2</v>
      </c>
      <c r="I14" s="96">
        <v>7.4999999999999997E-2</v>
      </c>
      <c r="J14" s="25" t="s">
        <v>109</v>
      </c>
      <c r="K14" s="15" t="s">
        <v>100</v>
      </c>
    </row>
    <row r="15" spans="1:11" ht="43.5" customHeight="1">
      <c r="A15" s="7" t="s">
        <v>110</v>
      </c>
      <c r="B15" s="24">
        <f>Actuals!D20/Actuals!D19</f>
        <v>0.28833135894398426</v>
      </c>
      <c r="C15" s="24">
        <f>Actuals!E20/Actuals!E19</f>
        <v>0.268186417229346</v>
      </c>
      <c r="D15" s="24">
        <f>Actuals!F20/Actuals!F19</f>
        <v>0.24708938301688829</v>
      </c>
      <c r="E15" s="96">
        <v>0.25169999999999998</v>
      </c>
      <c r="F15" s="96">
        <v>0.25169999999999998</v>
      </c>
      <c r="G15" s="96">
        <v>0.25169999999999998</v>
      </c>
      <c r="H15" s="96">
        <v>0.25169999999999998</v>
      </c>
      <c r="I15" s="96">
        <v>0.25169999999999998</v>
      </c>
      <c r="J15" s="25" t="s">
        <v>111</v>
      </c>
      <c r="K15" s="15" t="s">
        <v>112</v>
      </c>
    </row>
    <row r="16" spans="1:11" ht="14.25" customHeight="1">
      <c r="A16" s="7" t="s">
        <v>113</v>
      </c>
      <c r="B16" s="22"/>
      <c r="C16" s="24">
        <f>Actuals!E18/((Actuals!K30+Actuals!K37+Actuals!L30+Actuals!L37)/2)</f>
        <v>8.3074846205767924E-2</v>
      </c>
      <c r="D16" s="24">
        <f>Actuals!F18/((Actuals!L30+Actuals!L37+Actuals!M30+Actuals!M37)/2)</f>
        <v>6.7076967805177024E-2</v>
      </c>
      <c r="E16" s="96">
        <v>7.0000000000000007E-2</v>
      </c>
      <c r="F16" s="96">
        <v>7.0000000000000007E-2</v>
      </c>
      <c r="G16" s="96">
        <v>7.0000000000000007E-2</v>
      </c>
      <c r="H16" s="96">
        <v>7.0000000000000007E-2</v>
      </c>
      <c r="I16" s="96">
        <v>7.0000000000000007E-2</v>
      </c>
      <c r="J16" s="25" t="s">
        <v>114</v>
      </c>
      <c r="K16" s="139"/>
    </row>
    <row r="17" spans="1:11" ht="14.25" customHeight="1">
      <c r="A17" s="7" t="s">
        <v>115</v>
      </c>
      <c r="B17" s="27">
        <f>Actuals!D22</f>
        <v>-5.94</v>
      </c>
      <c r="C17" s="27">
        <f>Actuals!E22</f>
        <v>3.93</v>
      </c>
      <c r="D17" s="27">
        <f>Actuals!F22</f>
        <v>0.28999999999999998</v>
      </c>
      <c r="E17" s="96">
        <v>0</v>
      </c>
      <c r="F17" s="96">
        <v>0</v>
      </c>
      <c r="G17" s="96">
        <v>0</v>
      </c>
      <c r="H17" s="96">
        <v>0</v>
      </c>
      <c r="I17" s="96">
        <v>0</v>
      </c>
      <c r="J17" s="25" t="s">
        <v>116</v>
      </c>
      <c r="K17" s="15"/>
    </row>
    <row r="18" spans="1:11" ht="14.25" customHeight="1">
      <c r="A18" s="7" t="s">
        <v>117</v>
      </c>
      <c r="B18" s="24">
        <f>Actuals!D24/Actuals!D23</f>
        <v>1.0599617920749396E-2</v>
      </c>
      <c r="C18" s="24">
        <f>Actuals!E24/Actuals!E23</f>
        <v>5.5812915108556105E-5</v>
      </c>
      <c r="D18" s="24">
        <f>Actuals!F24/Actuals!F23</f>
        <v>1.5166153638753455E-3</v>
      </c>
      <c r="E18" s="96">
        <v>0</v>
      </c>
      <c r="F18" s="96">
        <v>0</v>
      </c>
      <c r="G18" s="96">
        <v>0</v>
      </c>
      <c r="H18" s="96">
        <v>0</v>
      </c>
      <c r="I18" s="96">
        <v>0</v>
      </c>
      <c r="J18" s="25" t="s">
        <v>118</v>
      </c>
      <c r="K18" s="15"/>
    </row>
    <row r="19" spans="1:11" ht="14.25" customHeight="1">
      <c r="A19" s="7"/>
      <c r="B19" s="22"/>
      <c r="C19" s="22"/>
      <c r="D19" s="22"/>
      <c r="E19" s="96"/>
      <c r="F19" s="96"/>
      <c r="G19" s="96"/>
      <c r="H19" s="96"/>
      <c r="I19" s="96"/>
      <c r="J19" s="26"/>
    </row>
    <row r="20" spans="1:11" ht="14.25" customHeight="1">
      <c r="A20" s="98" t="s">
        <v>119</v>
      </c>
      <c r="B20" s="22"/>
      <c r="C20" s="22"/>
      <c r="D20" s="22"/>
      <c r="E20" s="96"/>
      <c r="F20" s="96"/>
      <c r="G20" s="96"/>
      <c r="H20" s="96"/>
      <c r="I20" s="96"/>
      <c r="J20" s="26"/>
    </row>
    <row r="21" spans="1:11" ht="14.25" customHeight="1">
      <c r="A21" s="7" t="s">
        <v>120</v>
      </c>
      <c r="B21" s="24">
        <f>Actuals!K16/Actuals!D6</f>
        <v>0.36609248873697392</v>
      </c>
      <c r="C21" s="24">
        <f>Actuals!L16/Actuals!E6</f>
        <v>0.3486773401320859</v>
      </c>
      <c r="D21" s="24">
        <f>Actuals!M16/Actuals!F6</f>
        <v>0.34378311732155176</v>
      </c>
      <c r="E21" s="96">
        <v>0.34</v>
      </c>
      <c r="F21" s="96">
        <v>0.34</v>
      </c>
      <c r="G21" s="96">
        <v>0.34</v>
      </c>
      <c r="H21" s="96">
        <v>0.34</v>
      </c>
      <c r="I21" s="96">
        <v>0.34</v>
      </c>
      <c r="J21" s="25" t="s">
        <v>121</v>
      </c>
      <c r="K21" s="15"/>
    </row>
    <row r="22" spans="1:11" ht="14.25" customHeight="1">
      <c r="A22" s="7" t="s">
        <v>122</v>
      </c>
      <c r="B22" s="24">
        <f>Actuals!K17/Actuals!D6</f>
        <v>0.32989011730211099</v>
      </c>
      <c r="C22" s="24">
        <f>Actuals!L17/Actuals!E6</f>
        <v>0.36139259195240875</v>
      </c>
      <c r="D22" s="24">
        <f>Actuals!M17/Actuals!F6</f>
        <v>0.31631757401400284</v>
      </c>
      <c r="E22" s="96">
        <v>0.32</v>
      </c>
      <c r="F22" s="96">
        <v>0.32</v>
      </c>
      <c r="G22" s="96">
        <v>0.32</v>
      </c>
      <c r="H22" s="96">
        <v>0.32</v>
      </c>
      <c r="I22" s="96">
        <v>0.32</v>
      </c>
      <c r="J22" s="25" t="s">
        <v>123</v>
      </c>
      <c r="K22" s="15"/>
    </row>
    <row r="23" spans="1:11" ht="14.25" customHeight="1">
      <c r="A23" s="7" t="s">
        <v>124</v>
      </c>
      <c r="B23" s="24">
        <f>Actuals!K38/Actuals!D6</f>
        <v>0.20854502135561009</v>
      </c>
      <c r="C23" s="24">
        <f>Actuals!L38/Actuals!E6</f>
        <v>0.17257776433391669</v>
      </c>
      <c r="D23" s="24">
        <f>Actuals!M38/Actuals!F6</f>
        <v>0.18378223663931659</v>
      </c>
      <c r="E23" s="96">
        <v>0.18</v>
      </c>
      <c r="F23" s="96">
        <v>0.18</v>
      </c>
      <c r="G23" s="96">
        <v>0.18</v>
      </c>
      <c r="H23" s="96">
        <v>0.18</v>
      </c>
      <c r="I23" s="96">
        <v>0.18</v>
      </c>
      <c r="J23" s="25" t="s">
        <v>125</v>
      </c>
      <c r="K23" s="15"/>
    </row>
    <row r="24" spans="1:11" ht="14.25" customHeight="1">
      <c r="A24" s="7" t="s">
        <v>126</v>
      </c>
      <c r="B24" s="24">
        <f>Actuals!K22/Actuals!D6</f>
        <v>3.4760148626317489E-2</v>
      </c>
      <c r="C24" s="24">
        <f>Actuals!L22/Actuals!E6</f>
        <v>4.2783887532499336E-2</v>
      </c>
      <c r="D24" s="24">
        <f>Actuals!M22/Actuals!F6</f>
        <v>3.1435952384447151E-2</v>
      </c>
      <c r="E24" s="96">
        <v>0.03</v>
      </c>
      <c r="F24" s="96">
        <v>0.03</v>
      </c>
      <c r="G24" s="96">
        <v>0.03</v>
      </c>
      <c r="H24" s="96">
        <v>0.03</v>
      </c>
      <c r="I24" s="96">
        <v>0.03</v>
      </c>
      <c r="J24" s="25" t="s">
        <v>127</v>
      </c>
      <c r="K24" s="15"/>
    </row>
    <row r="25" spans="1:11" ht="14.25" customHeight="1">
      <c r="A25" s="7" t="s">
        <v>128</v>
      </c>
      <c r="B25" s="24">
        <f>Actuals!K41/Actuals!D6</f>
        <v>2.8616319137919746E-2</v>
      </c>
      <c r="C25" s="24">
        <f>Actuals!L41/Actuals!E6</f>
        <v>1.8206829001289171E-2</v>
      </c>
      <c r="D25" s="24">
        <f>Actuals!M41/Actuals!F6</f>
        <v>2.3771081331004418E-2</v>
      </c>
      <c r="E25" s="96">
        <v>0.02</v>
      </c>
      <c r="F25" s="96">
        <v>0.02</v>
      </c>
      <c r="G25" s="96">
        <v>0.02</v>
      </c>
      <c r="H25" s="96">
        <v>0.02</v>
      </c>
      <c r="I25" s="96">
        <v>0.02</v>
      </c>
      <c r="J25" s="25" t="s">
        <v>129</v>
      </c>
      <c r="K25" s="15"/>
    </row>
    <row r="26" spans="1:11" ht="14.25" customHeight="1">
      <c r="A26" s="7"/>
      <c r="B26" s="22"/>
      <c r="C26" s="22"/>
      <c r="D26" s="22"/>
      <c r="E26" s="23"/>
      <c r="F26" s="23"/>
      <c r="G26" s="23"/>
      <c r="H26" s="23"/>
      <c r="I26" s="23"/>
      <c r="J26" s="26"/>
    </row>
    <row r="27" spans="1:11" ht="14.25" customHeight="1">
      <c r="A27" s="98" t="s">
        <v>130</v>
      </c>
      <c r="B27" s="22"/>
      <c r="C27" s="22"/>
      <c r="D27" s="22"/>
      <c r="E27" s="23"/>
      <c r="F27" s="23"/>
      <c r="G27" s="23"/>
      <c r="H27" s="23"/>
      <c r="I27" s="23"/>
      <c r="J27" s="26"/>
    </row>
    <row r="28" spans="1:11" ht="43.5" customHeight="1">
      <c r="A28" s="7" t="s">
        <v>131</v>
      </c>
      <c r="B28" s="27">
        <f>-Actuals!D29</f>
        <v>678.31</v>
      </c>
      <c r="C28" s="27">
        <f>-Actuals!E29</f>
        <v>641</v>
      </c>
      <c r="D28" s="27">
        <f>-Actuals!F29</f>
        <v>1069.95</v>
      </c>
      <c r="E28" s="23">
        <v>1200</v>
      </c>
      <c r="F28" s="23">
        <v>1200</v>
      </c>
      <c r="G28" s="23">
        <v>1200</v>
      </c>
      <c r="H28" s="23">
        <v>1200</v>
      </c>
      <c r="I28" s="23">
        <v>1200</v>
      </c>
      <c r="J28" s="153" t="s">
        <v>132</v>
      </c>
      <c r="K28" s="15" t="s">
        <v>133</v>
      </c>
    </row>
    <row r="29" spans="1:11" ht="28.5" customHeight="1">
      <c r="A29" s="7" t="s">
        <v>134</v>
      </c>
      <c r="B29" s="22"/>
      <c r="C29" s="22"/>
      <c r="D29" s="28">
        <v>53.985658200000003</v>
      </c>
      <c r="E29" s="29">
        <v>53.985658200000003</v>
      </c>
      <c r="F29" s="29">
        <v>53.985658200000003</v>
      </c>
      <c r="G29" s="29">
        <v>53.985658200000003</v>
      </c>
      <c r="H29" s="29">
        <v>53.985658200000003</v>
      </c>
      <c r="I29" s="29">
        <v>53.985658200000003</v>
      </c>
      <c r="J29" s="25" t="s">
        <v>135</v>
      </c>
      <c r="K29" s="15"/>
    </row>
    <row r="30" spans="1:11" ht="28.5" customHeight="1">
      <c r="A30" s="7" t="s">
        <v>136</v>
      </c>
      <c r="B30" s="7"/>
      <c r="C30" s="7"/>
      <c r="D30" s="30">
        <v>54.045958900000002</v>
      </c>
      <c r="E30" s="7"/>
      <c r="F30" s="7"/>
      <c r="G30" s="7"/>
      <c r="H30" s="7"/>
      <c r="I30" s="7"/>
      <c r="J30" s="26" t="s">
        <v>137</v>
      </c>
      <c r="K30" t="s">
        <v>138</v>
      </c>
    </row>
    <row r="31" spans="1:11" ht="28.5" customHeight="1">
      <c r="J31" s="26"/>
    </row>
    <row r="32" spans="1:11">
      <c r="A32" s="105"/>
      <c r="B32" s="17" t="s">
        <v>77</v>
      </c>
      <c r="C32" s="17" t="s">
        <v>78</v>
      </c>
      <c r="D32" s="17" t="s">
        <v>79</v>
      </c>
      <c r="E32" s="18" t="s">
        <v>80</v>
      </c>
      <c r="F32" s="18" t="s">
        <v>81</v>
      </c>
      <c r="G32" s="18" t="s">
        <v>82</v>
      </c>
      <c r="H32" s="18" t="s">
        <v>83</v>
      </c>
      <c r="I32" s="18" t="s">
        <v>84</v>
      </c>
      <c r="J32" s="26"/>
    </row>
    <row r="33" spans="1:11" ht="17">
      <c r="A33" s="19" t="s">
        <v>366</v>
      </c>
      <c r="B33" s="161" t="s">
        <v>86</v>
      </c>
      <c r="C33" s="161"/>
      <c r="D33" s="161"/>
      <c r="E33" s="161" t="s">
        <v>87</v>
      </c>
      <c r="F33" s="161"/>
      <c r="G33" s="161"/>
      <c r="H33" s="161"/>
      <c r="I33" s="161"/>
      <c r="J33" s="26"/>
    </row>
    <row r="34" spans="1:11" ht="21.75" customHeight="1">
      <c r="A34" s="21" t="s">
        <v>2</v>
      </c>
      <c r="B34" s="21" t="s">
        <v>5</v>
      </c>
      <c r="C34" s="21" t="s">
        <v>6</v>
      </c>
      <c r="D34" s="21" t="s">
        <v>7</v>
      </c>
      <c r="E34" s="23" t="s">
        <v>88</v>
      </c>
      <c r="F34" s="23" t="s">
        <v>89</v>
      </c>
      <c r="G34" s="23" t="s">
        <v>90</v>
      </c>
      <c r="H34" s="23" t="s">
        <v>91</v>
      </c>
      <c r="I34" s="23" t="s">
        <v>92</v>
      </c>
      <c r="J34" s="31"/>
      <c r="K34" s="31"/>
    </row>
    <row r="35" spans="1:11" ht="21.75" customHeight="1">
      <c r="A35" s="7" t="s">
        <v>139</v>
      </c>
      <c r="B35" s="100">
        <f>Actuals!K6/Actuals!$D$6</f>
        <v>0.68369097946171564</v>
      </c>
      <c r="C35" s="100">
        <f>Actuals!L6/Actuals!E6</f>
        <v>0.66051249918976729</v>
      </c>
      <c r="D35" s="100">
        <f>Actuals!M6/Actuals!F6</f>
        <v>0.56851414228889319</v>
      </c>
      <c r="E35" s="101">
        <v>0.56850000000000001</v>
      </c>
      <c r="F35" s="101">
        <v>0.56850000000000001</v>
      </c>
      <c r="G35" s="101">
        <v>0.56850000000000001</v>
      </c>
      <c r="H35" s="101">
        <v>0.56850000000000001</v>
      </c>
      <c r="I35" s="101">
        <v>0.56850000000000001</v>
      </c>
      <c r="J35" s="32" t="s">
        <v>140</v>
      </c>
      <c r="K35" s="32"/>
    </row>
    <row r="36" spans="1:11" ht="21.75" customHeight="1">
      <c r="A36" s="7" t="s">
        <v>141</v>
      </c>
      <c r="B36" s="100">
        <f>Actuals!K7/Actuals!$D$6</f>
        <v>3.5375126715243323E-2</v>
      </c>
      <c r="C36" s="100">
        <f>Actuals!L7/Actuals!$E$6</f>
        <v>3.4054980590425568E-2</v>
      </c>
      <c r="D36" s="100">
        <f>Actuals!M7/Actuals!$F$6</f>
        <v>3.4157260491127127E-2</v>
      </c>
      <c r="E36" s="101">
        <v>3.4200000000000001E-2</v>
      </c>
      <c r="F36" s="101">
        <v>3.4200000000000001E-2</v>
      </c>
      <c r="G36" s="101">
        <v>3.4200000000000001E-2</v>
      </c>
      <c r="H36" s="101">
        <v>3.4200000000000001E-2</v>
      </c>
      <c r="I36" s="101">
        <v>3.4200000000000001E-2</v>
      </c>
      <c r="J36" s="32" t="s">
        <v>142</v>
      </c>
      <c r="K36" s="32"/>
    </row>
    <row r="37" spans="1:11" ht="21.75" customHeight="1">
      <c r="A37" s="7" t="s">
        <v>143</v>
      </c>
      <c r="B37" s="100">
        <f>Actuals!K8/Actuals!$D$6</f>
        <v>8.3883011329483434E-2</v>
      </c>
      <c r="C37" s="100">
        <f>Actuals!L8/Actuals!$E$6</f>
        <v>8.2528502185827773E-2</v>
      </c>
      <c r="D37" s="100">
        <f>Actuals!M8/Actuals!$F$6</f>
        <v>0.11350232646890458</v>
      </c>
      <c r="E37" s="101">
        <v>0.1135</v>
      </c>
      <c r="F37" s="101">
        <v>0.1135</v>
      </c>
      <c r="G37" s="101">
        <v>0.1135</v>
      </c>
      <c r="H37" s="101">
        <v>0.1135</v>
      </c>
      <c r="I37" s="101">
        <v>0.1135</v>
      </c>
      <c r="J37" s="32" t="s">
        <v>144</v>
      </c>
      <c r="K37" s="32"/>
    </row>
    <row r="38" spans="1:11" ht="21.75" customHeight="1">
      <c r="A38" s="7" t="s">
        <v>145</v>
      </c>
      <c r="B38" s="100">
        <f>Actuals!K9/Actuals!$D$6</f>
        <v>4.8861001065300759E-2</v>
      </c>
      <c r="C38" s="100">
        <f>Actuals!L9/Actuals!$E$6</f>
        <v>4.4346736382689107E-2</v>
      </c>
      <c r="D38" s="100">
        <f>Actuals!M9/Actuals!$F$6</f>
        <v>3.6152005753790607E-2</v>
      </c>
      <c r="E38" s="101">
        <v>3.6200000000000003E-2</v>
      </c>
      <c r="F38" s="101">
        <v>3.6200000000000003E-2</v>
      </c>
      <c r="G38" s="101">
        <v>3.6200000000000003E-2</v>
      </c>
      <c r="H38" s="101">
        <v>3.6200000000000003E-2</v>
      </c>
      <c r="I38" s="101">
        <v>3.6200000000000003E-2</v>
      </c>
      <c r="J38" s="32" t="s">
        <v>146</v>
      </c>
      <c r="K38" s="32"/>
    </row>
    <row r="39" spans="1:11" ht="21.75" customHeight="1">
      <c r="A39" s="7" t="s">
        <v>147</v>
      </c>
      <c r="B39" s="100">
        <f>Actuals!K10/Actuals!$D$6</f>
        <v>3.773188145603006E-3</v>
      </c>
      <c r="C39" s="100">
        <f>Actuals!L10/Actuals!$E$6</f>
        <v>3.4785990536482076E-3</v>
      </c>
      <c r="D39" s="100">
        <f>Actuals!M10/Actuals!$F$6</f>
        <v>2.7007588545259727E-3</v>
      </c>
      <c r="E39" s="101">
        <v>2.7000000000000001E-3</v>
      </c>
      <c r="F39" s="101">
        <v>2.7000000000000001E-3</v>
      </c>
      <c r="G39" s="101">
        <v>2.7000000000000001E-3</v>
      </c>
      <c r="H39" s="101">
        <v>2.7000000000000001E-3</v>
      </c>
      <c r="I39" s="101">
        <v>2.7000000000000001E-3</v>
      </c>
      <c r="J39" s="32" t="s">
        <v>148</v>
      </c>
      <c r="K39" s="32"/>
    </row>
    <row r="40" spans="1:11" ht="21.75" customHeight="1">
      <c r="A40" s="7" t="s">
        <v>149</v>
      </c>
      <c r="B40" s="100">
        <f>Actuals!K11/Actuals!$D$6</f>
        <v>2.4595155956459551E-2</v>
      </c>
      <c r="C40" s="100">
        <f>Actuals!L11/Actuals!$E$6</f>
        <v>4.1998862073187419E-2</v>
      </c>
      <c r="D40" s="100">
        <f>Actuals!M11/Actuals!$F$6</f>
        <v>4.5394765811915629E-2</v>
      </c>
      <c r="E40" s="101">
        <v>4.5400000000000003E-2</v>
      </c>
      <c r="F40" s="101">
        <v>4.5400000000000003E-2</v>
      </c>
      <c r="G40" s="101">
        <v>4.5400000000000003E-2</v>
      </c>
      <c r="H40" s="101">
        <v>4.5400000000000003E-2</v>
      </c>
      <c r="I40" s="101">
        <v>4.5400000000000003E-2</v>
      </c>
      <c r="J40" s="32" t="s">
        <v>150</v>
      </c>
      <c r="K40" s="32"/>
    </row>
    <row r="41" spans="1:11" ht="21.75" customHeight="1">
      <c r="A41" s="7" t="s">
        <v>151</v>
      </c>
      <c r="B41" s="100">
        <f>Actuals!K12/Actuals!$D$6</f>
        <v>9.3992457591309374E-3</v>
      </c>
      <c r="C41" s="100">
        <f>Actuals!L12/Actuals!$E$6</f>
        <v>8.7613162500270077E-3</v>
      </c>
      <c r="D41" s="100">
        <f>Actuals!M12/Actuals!$F$6</f>
        <v>6.4964992881151934E-3</v>
      </c>
      <c r="E41" s="101">
        <v>6.4999999999999997E-3</v>
      </c>
      <c r="F41" s="101">
        <v>6.4999999999999997E-3</v>
      </c>
      <c r="G41" s="101">
        <v>6.4999999999999997E-3</v>
      </c>
      <c r="H41" s="101">
        <v>6.4999999999999997E-3</v>
      </c>
      <c r="I41" s="101">
        <v>6.4999999999999997E-3</v>
      </c>
      <c r="J41" s="32" t="s">
        <v>152</v>
      </c>
      <c r="K41" s="32"/>
    </row>
    <row r="42" spans="1:11" ht="21.75" customHeight="1">
      <c r="A42" s="7" t="s">
        <v>153</v>
      </c>
      <c r="B42" s="100">
        <f>Actuals!K13/Actuals!$D$6</f>
        <v>5.8918868519668393E-4</v>
      </c>
      <c r="C42" s="100">
        <f>Actuals!L13/Actuals!$E$6</f>
        <v>1.2495588733084143E-3</v>
      </c>
      <c r="D42" s="100">
        <f>Actuals!M13/Actuals!$F$6</f>
        <v>3.5814410896974855E-4</v>
      </c>
      <c r="E42" s="101">
        <v>4.0000000000000002E-4</v>
      </c>
      <c r="F42" s="101">
        <v>4.0000000000000002E-4</v>
      </c>
      <c r="G42" s="101">
        <v>4.0000000000000002E-4</v>
      </c>
      <c r="H42" s="101">
        <v>4.0000000000000002E-4</v>
      </c>
      <c r="I42" s="101">
        <v>4.0000000000000002E-4</v>
      </c>
      <c r="J42" s="32" t="s">
        <v>154</v>
      </c>
      <c r="K42" s="32"/>
    </row>
    <row r="43" spans="1:11" ht="21.75" customHeight="1">
      <c r="A43" s="7" t="s">
        <v>155</v>
      </c>
      <c r="B43" s="100">
        <f>Actuals!K14/Actuals!$D$6</f>
        <v>1.2870896261131599E-2</v>
      </c>
      <c r="C43" s="100">
        <f>Actuals!L14/Actuals!$E$6</f>
        <v>2.3912667718168659E-2</v>
      </c>
      <c r="D43" s="100">
        <f>Actuals!M14/Actuals!$F$6</f>
        <v>2.672723803373013E-2</v>
      </c>
      <c r="E43" s="101">
        <v>2.6700000000000002E-2</v>
      </c>
      <c r="F43" s="101">
        <v>2.6700000000000002E-2</v>
      </c>
      <c r="G43" s="101">
        <v>2.6700000000000002E-2</v>
      </c>
      <c r="H43" s="101">
        <v>2.6700000000000002E-2</v>
      </c>
      <c r="I43" s="101">
        <v>2.6700000000000002E-2</v>
      </c>
      <c r="J43" s="32" t="s">
        <v>152</v>
      </c>
      <c r="K43" s="32"/>
    </row>
    <row r="44" spans="1:11" ht="21.75" customHeight="1">
      <c r="A44" s="7" t="s">
        <v>156</v>
      </c>
      <c r="B44" s="100">
        <f>Actuals!I19/Actuals!$D$6</f>
        <v>1.1704421692459377E-4</v>
      </c>
      <c r="C44" s="100">
        <f>Actuals!J19/Actuals!$D$6</f>
        <v>5.5348028003324851E-4</v>
      </c>
      <c r="D44" s="100">
        <f>Actuals!K19/Actuals!$D$6</f>
        <v>5.3760987773838836E-4</v>
      </c>
      <c r="E44" s="101">
        <v>2.0000000000000001E-4</v>
      </c>
      <c r="F44" s="101">
        <v>2.0000000000000001E-4</v>
      </c>
      <c r="G44" s="101">
        <v>2.0000000000000001E-4</v>
      </c>
      <c r="H44" s="101">
        <v>2.0000000000000001E-4</v>
      </c>
      <c r="I44" s="101">
        <v>2.0000000000000001E-4</v>
      </c>
      <c r="J44" s="32" t="s">
        <v>154</v>
      </c>
      <c r="K44" s="32"/>
    </row>
    <row r="45" spans="1:11" ht="21.75" customHeight="1">
      <c r="A45" s="7" t="s">
        <v>157</v>
      </c>
      <c r="B45" s="100">
        <f>Actuals!I20/Actuals!$D$6</f>
        <v>1.2696321835888139E-4</v>
      </c>
      <c r="C45" s="100">
        <f>Actuals!J20/Actuals!$D$6</f>
        <v>1.9242862782517959E-4</v>
      </c>
      <c r="D45" s="100">
        <f>Actuals!K20/Actuals!$D$6</f>
        <v>1.8846102725146452E-4</v>
      </c>
      <c r="E45" s="101">
        <v>1E-4</v>
      </c>
      <c r="F45" s="101">
        <v>1E-4</v>
      </c>
      <c r="G45" s="101">
        <v>1E-4</v>
      </c>
      <c r="H45" s="101">
        <v>1E-4</v>
      </c>
      <c r="I45" s="101">
        <v>1E-4</v>
      </c>
      <c r="J45" s="32" t="s">
        <v>154</v>
      </c>
      <c r="K45" s="32"/>
    </row>
    <row r="46" spans="1:11" ht="21.75" customHeight="1">
      <c r="A46" s="7" t="s">
        <v>158</v>
      </c>
      <c r="B46" s="100">
        <f>Actuals!I21/Actuals!$D$6</f>
        <v>3.8684105593721668E-4</v>
      </c>
      <c r="C46" s="100">
        <f>Actuals!J21/Actuals!$D$6</f>
        <v>3.2355782678646174E-3</v>
      </c>
      <c r="D46" s="100">
        <f>Actuals!K21/Actuals!$D$6</f>
        <v>1.749711853008334E-3</v>
      </c>
      <c r="E46" s="101">
        <v>5.0000000000000001E-4</v>
      </c>
      <c r="F46" s="101">
        <v>5.0000000000000001E-4</v>
      </c>
      <c r="G46" s="101">
        <v>5.0000000000000001E-4</v>
      </c>
      <c r="H46" s="101">
        <v>5.0000000000000001E-4</v>
      </c>
      <c r="I46" s="101">
        <v>5.0000000000000001E-4</v>
      </c>
      <c r="J46" s="32" t="s">
        <v>154</v>
      </c>
      <c r="K46" s="32"/>
    </row>
    <row r="47" spans="1:11" ht="21.75" customHeight="1">
      <c r="A47" s="7" t="s">
        <v>159</v>
      </c>
      <c r="B47" s="8">
        <f>Actuals!K25</f>
        <v>107.79</v>
      </c>
      <c r="C47" s="8">
        <f>Actuals!L25</f>
        <v>107.85</v>
      </c>
      <c r="D47" s="8">
        <f>Actuals!M25</f>
        <v>107.97</v>
      </c>
      <c r="E47" s="102">
        <f>$D$47</f>
        <v>107.97</v>
      </c>
      <c r="F47" s="102">
        <f>$D$47</f>
        <v>107.97</v>
      </c>
      <c r="G47" s="102">
        <f>$D$47</f>
        <v>107.97</v>
      </c>
      <c r="H47" s="102">
        <f>$D$47</f>
        <v>107.97</v>
      </c>
      <c r="I47" s="102">
        <f>$D$47</f>
        <v>107.97</v>
      </c>
      <c r="J47" s="32" t="s">
        <v>160</v>
      </c>
      <c r="K47" s="32"/>
    </row>
    <row r="48" spans="1:11" ht="21.75" customHeight="1">
      <c r="A48" s="7" t="s">
        <v>161</v>
      </c>
      <c r="B48" s="100">
        <f>Actuals!K28/Actuals!D6</f>
        <v>9.1651573252817496E-4</v>
      </c>
      <c r="C48" s="100">
        <f>Actuals!L28/Actuals!E6</f>
        <v>2.3399520342242294E-2</v>
      </c>
      <c r="D48" s="100">
        <f>Actuals!M28/Actuals!$F$6</f>
        <v>1.9272262913003275E-2</v>
      </c>
      <c r="E48" s="102">
        <f>Actuals!$M$28</f>
        <v>131.30000000000001</v>
      </c>
      <c r="F48" s="102">
        <f>Actuals!$M$28</f>
        <v>131.30000000000001</v>
      </c>
      <c r="G48" s="102">
        <f>Actuals!$M$28</f>
        <v>131.30000000000001</v>
      </c>
      <c r="H48" s="102">
        <f>Actuals!$M$28</f>
        <v>131.30000000000001</v>
      </c>
      <c r="I48" s="102">
        <f>Actuals!$M$28</f>
        <v>131.30000000000001</v>
      </c>
      <c r="J48" s="87" t="s">
        <v>369</v>
      </c>
      <c r="K48" s="32"/>
    </row>
    <row r="49" spans="1:11" ht="21.75" customHeight="1">
      <c r="A49" s="7" t="s">
        <v>162</v>
      </c>
      <c r="B49" s="140">
        <f>Actuals!K30</f>
        <v>798.23</v>
      </c>
      <c r="C49" s="140">
        <f>Actuals!L30</f>
        <v>645.58000000000004</v>
      </c>
      <c r="D49" s="140">
        <f>Actuals!M30</f>
        <v>611.34</v>
      </c>
      <c r="E49" s="103">
        <f>Actuals!$M$30</f>
        <v>611.34</v>
      </c>
      <c r="F49" s="103">
        <f>Actuals!$M$30</f>
        <v>611.34</v>
      </c>
      <c r="G49" s="103">
        <f>Actuals!$M$30</f>
        <v>611.34</v>
      </c>
      <c r="H49" s="103">
        <f>Actuals!$M$30</f>
        <v>611.34</v>
      </c>
      <c r="I49" s="103">
        <f>Actuals!$M$30</f>
        <v>611.34</v>
      </c>
      <c r="J49" s="32" t="s">
        <v>359</v>
      </c>
      <c r="K49" s="32"/>
    </row>
    <row r="50" spans="1:11" ht="21.75" customHeight="1">
      <c r="A50" s="7" t="s">
        <v>163</v>
      </c>
      <c r="B50" s="100">
        <f>Actuals!K31/Actuals!$D$6</f>
        <v>1.2331302583106354E-2</v>
      </c>
      <c r="C50" s="100">
        <f>Actuals!L31/Actuals!$E$6</f>
        <v>1.1197415897845861E-2</v>
      </c>
      <c r="D50" s="100">
        <f>Actuals!M31/Actuals!$F$6</f>
        <v>1.6364543733211993E-2</v>
      </c>
      <c r="E50" s="101">
        <v>1.6400000000000001E-2</v>
      </c>
      <c r="F50" s="101">
        <v>1.6400000000000001E-2</v>
      </c>
      <c r="G50" s="101">
        <v>1.6400000000000001E-2</v>
      </c>
      <c r="H50" s="101">
        <v>1.6400000000000001E-2</v>
      </c>
      <c r="I50" s="101">
        <v>1.6400000000000001E-2</v>
      </c>
      <c r="J50" s="32" t="s">
        <v>152</v>
      </c>
      <c r="K50" s="32"/>
    </row>
    <row r="51" spans="1:11" ht="21.75" customHeight="1">
      <c r="A51" s="7" t="s">
        <v>164</v>
      </c>
      <c r="B51" s="100">
        <f>Actuals!K32/Actuals!$D$6</f>
        <v>8.3974266142678878E-3</v>
      </c>
      <c r="C51" s="100">
        <f>Actuals!L32/Actuals!$E$6</f>
        <v>0</v>
      </c>
      <c r="D51" s="100">
        <f>Actuals!M32/Actuals!$F$6</f>
        <v>3.0280790852647184E-3</v>
      </c>
      <c r="E51" s="101">
        <v>3.0000000000000001E-3</v>
      </c>
      <c r="F51" s="101">
        <v>3.0000000000000001E-3</v>
      </c>
      <c r="G51" s="101">
        <v>3.0000000000000001E-3</v>
      </c>
      <c r="H51" s="101">
        <v>3.0000000000000001E-3</v>
      </c>
      <c r="I51" s="101">
        <v>3.0000000000000001E-3</v>
      </c>
      <c r="J51" s="32" t="s">
        <v>152</v>
      </c>
      <c r="K51" s="32"/>
    </row>
    <row r="52" spans="1:11" ht="21.75" customHeight="1">
      <c r="A52" s="7" t="s">
        <v>165</v>
      </c>
      <c r="B52" s="100">
        <f>Actuals!K33/Actuals!$D$6</f>
        <v>1.8542581281257253E-2</v>
      </c>
      <c r="C52" s="100">
        <f>Actuals!L33/Actuals!$E$6</f>
        <v>1.9101686004220412E-2</v>
      </c>
      <c r="D52" s="100">
        <f>Actuals!M33/Actuals!$F$6</f>
        <v>1.9388219407300858E-2</v>
      </c>
      <c r="E52" s="101">
        <v>1.9400000000000001E-2</v>
      </c>
      <c r="F52" s="101">
        <v>1.9400000000000001E-2</v>
      </c>
      <c r="G52" s="101">
        <v>1.9400000000000001E-2</v>
      </c>
      <c r="H52" s="101">
        <v>1.9400000000000001E-2</v>
      </c>
      <c r="I52" s="101">
        <v>1.9400000000000001E-2</v>
      </c>
      <c r="J52" s="32" t="s">
        <v>152</v>
      </c>
      <c r="K52" s="32"/>
    </row>
    <row r="53" spans="1:11" ht="21.75" customHeight="1">
      <c r="A53" s="7" t="s">
        <v>166</v>
      </c>
      <c r="B53" s="100">
        <f>Actuals!K34/Actuals!$D$6</f>
        <v>1.1315596836235302E-2</v>
      </c>
      <c r="C53" s="100">
        <f>Actuals!L34/Actuals!$E$6</f>
        <v>5.7382480248327318E-3</v>
      </c>
      <c r="D53" s="100">
        <f>Actuals!M34/Actuals!$F$6</f>
        <v>4.3124073448898414E-3</v>
      </c>
      <c r="E53" s="101">
        <v>4.3E-3</v>
      </c>
      <c r="F53" s="101">
        <v>4.3E-3</v>
      </c>
      <c r="G53" s="101">
        <v>4.3E-3</v>
      </c>
      <c r="H53" s="101">
        <v>4.3E-3</v>
      </c>
      <c r="I53" s="101">
        <v>4.3E-3</v>
      </c>
      <c r="J53" s="32" t="s">
        <v>152</v>
      </c>
      <c r="K53" s="32"/>
    </row>
    <row r="54" spans="1:11" ht="21.75" customHeight="1">
      <c r="A54" s="7" t="s">
        <v>167</v>
      </c>
      <c r="B54" s="100">
        <f>Actuals!K35/Actuals!$D$6</f>
        <v>2.101836403925544E-2</v>
      </c>
      <c r="C54" s="100">
        <f>Actuals!L35/Actuals!$E$6</f>
        <v>6.2585974691931529E-2</v>
      </c>
      <c r="D54" s="100">
        <f>Actuals!M35/Actuals!$F$6</f>
        <v>7.9183607567996014E-2</v>
      </c>
      <c r="E54" s="101">
        <v>7.9200000000000007E-2</v>
      </c>
      <c r="F54" s="101">
        <v>7.9200000000000007E-2</v>
      </c>
      <c r="G54" s="101">
        <v>7.9200000000000007E-2</v>
      </c>
      <c r="H54" s="101">
        <v>7.9200000000000007E-2</v>
      </c>
      <c r="I54" s="101">
        <v>7.9200000000000007E-2</v>
      </c>
      <c r="J54" s="32" t="s">
        <v>152</v>
      </c>
      <c r="K54" s="32"/>
    </row>
    <row r="55" spans="1:11" ht="21.75" customHeight="1">
      <c r="A55" s="7" t="s">
        <v>168</v>
      </c>
      <c r="B55" s="140">
        <f>Actuals!K37</f>
        <v>1708.82</v>
      </c>
      <c r="C55" s="140">
        <f>Actuals!L37</f>
        <v>2047.5</v>
      </c>
      <c r="D55" s="140">
        <f>Actuals!M37</f>
        <v>1786.15</v>
      </c>
      <c r="E55" s="103">
        <f>Actuals!$M$37</f>
        <v>1786.15</v>
      </c>
      <c r="F55" s="103">
        <f>Actuals!$M$37</f>
        <v>1786.15</v>
      </c>
      <c r="G55" s="103">
        <f>Actuals!$M$37</f>
        <v>1786.15</v>
      </c>
      <c r="H55" s="103">
        <f>Actuals!$M$37</f>
        <v>1786.15</v>
      </c>
      <c r="I55" s="103">
        <f>Actuals!$M$37</f>
        <v>1786.15</v>
      </c>
      <c r="J55" s="32" t="s">
        <v>360</v>
      </c>
      <c r="K55" s="32"/>
    </row>
    <row r="56" spans="1:11" ht="21.75" customHeight="1">
      <c r="A56" s="7" t="s">
        <v>169</v>
      </c>
      <c r="B56" s="100">
        <f>Actuals!K39/Actuals!$D$6</f>
        <v>1.6247324349363101E-3</v>
      </c>
      <c r="C56" s="100">
        <f>Actuals!L39/Actuals!$E$6</f>
        <v>1.5232374738024762E-3</v>
      </c>
      <c r="D56" s="100">
        <f>Actuals!M39/Actuals!$F$6</f>
        <v>1.3944135390215621E-3</v>
      </c>
      <c r="E56" s="101">
        <v>1.4E-3</v>
      </c>
      <c r="F56" s="101">
        <v>1.4E-3</v>
      </c>
      <c r="G56" s="101">
        <v>1.4E-3</v>
      </c>
      <c r="H56" s="101">
        <v>1.4E-3</v>
      </c>
      <c r="I56" s="101">
        <v>1.4E-3</v>
      </c>
      <c r="J56" s="32" t="s">
        <v>152</v>
      </c>
      <c r="K56" s="32"/>
    </row>
    <row r="57" spans="1:11" ht="21.75" customHeight="1">
      <c r="A57" s="7" t="s">
        <v>170</v>
      </c>
      <c r="B57" s="100">
        <f>Actuals!K40/Actuals!$D$6</f>
        <v>2.7527212780434965E-2</v>
      </c>
      <c r="C57" s="100">
        <f>Actuals!L40/Actuals!$E$6</f>
        <v>6.0787258100526473E-2</v>
      </c>
      <c r="D57" s="100">
        <f>Actuals!M40/Actuals!$F$6</f>
        <v>4.8962996668085547E-2</v>
      </c>
      <c r="E57" s="101">
        <v>4.9000000000000002E-2</v>
      </c>
      <c r="F57" s="101">
        <v>4.9000000000000002E-2</v>
      </c>
      <c r="G57" s="101">
        <v>4.9000000000000002E-2</v>
      </c>
      <c r="H57" s="101">
        <v>4.9000000000000002E-2</v>
      </c>
      <c r="I57" s="101">
        <v>4.9000000000000002E-2</v>
      </c>
      <c r="J57" s="32" t="s">
        <v>152</v>
      </c>
      <c r="K57" s="32"/>
    </row>
    <row r="58" spans="1:11" ht="21.75" customHeight="1">
      <c r="A58" s="7" t="s">
        <v>171</v>
      </c>
      <c r="B58" s="100">
        <f>Actuals!K41/Actuals!$D$6</f>
        <v>2.8616319137919746E-2</v>
      </c>
      <c r="C58" s="100">
        <f>Actuals!L41/Actuals!$E$6</f>
        <v>1.8206829001289171E-2</v>
      </c>
      <c r="D58" s="100">
        <f>Actuals!M41/Actuals!$F$6</f>
        <v>2.3771081331004418E-2</v>
      </c>
      <c r="E58" s="101">
        <v>5.5999999999999999E-3</v>
      </c>
      <c r="F58" s="101">
        <v>5.5999999999999999E-3</v>
      </c>
      <c r="G58" s="101">
        <v>5.5999999999999999E-3</v>
      </c>
      <c r="H58" s="101">
        <v>5.5999999999999999E-3</v>
      </c>
      <c r="I58" s="101">
        <v>5.5999999999999999E-3</v>
      </c>
      <c r="J58" s="32" t="s">
        <v>152</v>
      </c>
      <c r="K58" s="32"/>
    </row>
    <row r="59" spans="1:11" ht="21.75" customHeight="1">
      <c r="A59" s="7" t="s">
        <v>172</v>
      </c>
      <c r="B59" s="100">
        <f>Actuals!K42/Actuals!$D$6</f>
        <v>4.9218085116935102E-3</v>
      </c>
      <c r="C59" s="100">
        <f>Actuals!L42/Actuals!$E$6</f>
        <v>5.2827171963787996E-3</v>
      </c>
      <c r="D59" s="100">
        <f>Actuals!M42/Actuals!$F$6</f>
        <v>5.5615083151081043E-3</v>
      </c>
      <c r="E59" s="101">
        <v>8.0000000000000002E-3</v>
      </c>
      <c r="F59" s="101">
        <v>8.0000000000000002E-3</v>
      </c>
      <c r="G59" s="101">
        <v>8.0000000000000002E-3</v>
      </c>
      <c r="H59" s="101">
        <v>8.0000000000000002E-3</v>
      </c>
      <c r="I59" s="101">
        <v>8.0000000000000002E-3</v>
      </c>
      <c r="J59" s="32" t="s">
        <v>152</v>
      </c>
      <c r="K59" s="32"/>
    </row>
    <row r="60" spans="1:11" ht="21.75" customHeight="1"/>
    <row r="61" spans="1:11" ht="30" customHeight="1">
      <c r="A61" s="7" t="s">
        <v>33</v>
      </c>
      <c r="B61" s="7"/>
      <c r="C61" s="7"/>
      <c r="D61" s="7"/>
      <c r="E61" s="7" t="s">
        <v>173</v>
      </c>
      <c r="F61" s="7"/>
      <c r="G61" s="7"/>
      <c r="H61" s="7"/>
      <c r="I61" s="7"/>
      <c r="J61" s="33" t="s">
        <v>361</v>
      </c>
      <c r="K61" s="32"/>
    </row>
    <row r="62" spans="1:11" ht="30" customHeight="1">
      <c r="A62" s="7" t="s">
        <v>174</v>
      </c>
      <c r="B62" s="7"/>
      <c r="C62" s="7"/>
      <c r="D62" s="7"/>
      <c r="E62" s="104">
        <v>0.2</v>
      </c>
      <c r="F62" s="104">
        <v>0.2</v>
      </c>
      <c r="G62" s="104">
        <v>0.2</v>
      </c>
      <c r="H62" s="104">
        <v>0.2</v>
      </c>
      <c r="I62" s="104">
        <v>0.2</v>
      </c>
      <c r="J62" s="33" t="s">
        <v>362</v>
      </c>
      <c r="K62" s="32"/>
    </row>
  </sheetData>
  <mergeCells count="5">
    <mergeCell ref="A2:K2"/>
    <mergeCell ref="B4:D4"/>
    <mergeCell ref="E4:I4"/>
    <mergeCell ref="B33:D33"/>
    <mergeCell ref="E33:I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topLeftCell="A10" workbookViewId="0">
      <selection activeCell="C18" sqref="C18"/>
    </sheetView>
  </sheetViews>
  <sheetFormatPr defaultColWidth="8.6328125" defaultRowHeight="14.5"/>
  <cols>
    <col min="1" max="1" width="45" customWidth="1"/>
    <col min="2" max="2" width="16" customWidth="1"/>
    <col min="3" max="3" width="95" customWidth="1"/>
  </cols>
  <sheetData>
    <row r="1" spans="1:3" ht="16.5" customHeight="1">
      <c r="A1" s="165" t="s">
        <v>175</v>
      </c>
      <c r="B1" s="165"/>
      <c r="C1" s="165"/>
    </row>
    <row r="2" spans="1:3" ht="14.25" customHeight="1">
      <c r="A2" s="2"/>
    </row>
    <row r="4" spans="1:3" ht="14.25" customHeight="1">
      <c r="A4" s="166" t="s">
        <v>176</v>
      </c>
      <c r="B4" s="166"/>
      <c r="C4" s="21" t="s">
        <v>94</v>
      </c>
    </row>
    <row r="5" spans="1:3" ht="14.25" customHeight="1">
      <c r="A5" s="15" t="s">
        <v>177</v>
      </c>
      <c r="B5" s="34">
        <v>6.9599999999999995E-2</v>
      </c>
      <c r="C5" s="15" t="s">
        <v>178</v>
      </c>
    </row>
    <row r="6" spans="1:3" ht="14.25" customHeight="1">
      <c r="A6" s="15" t="s">
        <v>179</v>
      </c>
      <c r="B6" s="35">
        <v>1.0656000000000001</v>
      </c>
      <c r="C6" s="139" t="s">
        <v>368</v>
      </c>
    </row>
    <row r="7" spans="1:3" ht="14.25" customHeight="1">
      <c r="A7" s="15" t="s">
        <v>180</v>
      </c>
      <c r="B7" s="34">
        <v>7.0000000000000007E-2</v>
      </c>
      <c r="C7" s="15" t="s">
        <v>181</v>
      </c>
    </row>
    <row r="8" spans="1:3" ht="14.25" customHeight="1">
      <c r="A8" s="36" t="s">
        <v>182</v>
      </c>
      <c r="B8" s="37">
        <f>B5+B6*B7</f>
        <v>0.14419200000000001</v>
      </c>
      <c r="C8" s="15"/>
    </row>
    <row r="10" spans="1:3" ht="14.25" customHeight="1">
      <c r="A10" s="167" t="s">
        <v>183</v>
      </c>
      <c r="B10" s="167"/>
    </row>
    <row r="11" spans="1:3" ht="14.25" customHeight="1">
      <c r="A11" s="15" t="s">
        <v>184</v>
      </c>
      <c r="B11" s="34">
        <f>Assumptions!D16</f>
        <v>6.7076967805177024E-2</v>
      </c>
      <c r="C11" s="15" t="s">
        <v>185</v>
      </c>
    </row>
    <row r="12" spans="1:3" ht="14.25" customHeight="1">
      <c r="A12" s="15" t="s">
        <v>186</v>
      </c>
      <c r="B12" s="34">
        <f>Assumptions!E15</f>
        <v>0.25169999999999998</v>
      </c>
      <c r="C12" s="15" t="s">
        <v>187</v>
      </c>
    </row>
    <row r="13" spans="1:3" ht="14.25" customHeight="1">
      <c r="A13" s="36" t="s">
        <v>188</v>
      </c>
      <c r="B13" s="37">
        <f>B11*(1-B12)</f>
        <v>5.0193695008613967E-2</v>
      </c>
      <c r="C13" s="15"/>
    </row>
    <row r="15" spans="1:3" ht="14.25" customHeight="1">
      <c r="A15" s="167" t="s">
        <v>189</v>
      </c>
      <c r="B15" s="167"/>
    </row>
    <row r="16" spans="1:3" ht="14.25" customHeight="1">
      <c r="A16" s="15" t="s">
        <v>190</v>
      </c>
      <c r="B16" s="35">
        <f>Actuals!M30+Actuals!M31+Actuals!M37+Actuals!M39</f>
        <v>2518.48</v>
      </c>
      <c r="C16" s="15" t="s">
        <v>191</v>
      </c>
    </row>
    <row r="17" spans="1:3" ht="14.25" customHeight="1">
      <c r="A17" s="15" t="s">
        <v>192</v>
      </c>
      <c r="B17" s="35">
        <v>992.7</v>
      </c>
      <c r="C17" s="15" t="s">
        <v>193</v>
      </c>
    </row>
    <row r="18" spans="1:3" ht="14.25" customHeight="1">
      <c r="A18" s="15" t="s">
        <v>194</v>
      </c>
      <c r="B18" s="35">
        <f>Assumptions!D29</f>
        <v>53.985658200000003</v>
      </c>
      <c r="C18" s="15" t="s">
        <v>195</v>
      </c>
    </row>
    <row r="19" spans="1:3" ht="14.25" customHeight="1">
      <c r="A19" s="15" t="s">
        <v>196</v>
      </c>
      <c r="B19" s="35">
        <f>B17*B18</f>
        <v>53591.562895140007</v>
      </c>
      <c r="C19" s="15" t="s">
        <v>197</v>
      </c>
    </row>
    <row r="20" spans="1:3" ht="14.25" customHeight="1">
      <c r="A20" s="15" t="s">
        <v>198</v>
      </c>
      <c r="B20" s="34">
        <f>B16/(B16+B19)</f>
        <v>4.4884656472400218E-2</v>
      </c>
      <c r="C20" s="15"/>
    </row>
    <row r="21" spans="1:3" ht="14.25" customHeight="1">
      <c r="A21" s="15" t="s">
        <v>199</v>
      </c>
      <c r="B21" s="34">
        <f>B19/(B16+B19)</f>
        <v>0.95511534352759975</v>
      </c>
      <c r="C21" s="15"/>
    </row>
    <row r="23" spans="1:3" ht="14.25" customHeight="1">
      <c r="A23" s="36" t="s">
        <v>200</v>
      </c>
      <c r="B23" s="37">
        <f>(B8*B21)+(B13*B20)</f>
        <v>0.13997291837147374</v>
      </c>
    </row>
    <row r="24" spans="1:3" ht="14.25" customHeight="1">
      <c r="A24" s="15"/>
      <c r="B24" s="38"/>
      <c r="C24" s="15"/>
    </row>
    <row r="25" spans="1:3" ht="14.25" customHeight="1">
      <c r="A25" s="36" t="s">
        <v>201</v>
      </c>
      <c r="B25" s="37">
        <v>0.04</v>
      </c>
      <c r="C25" s="139" t="s">
        <v>382</v>
      </c>
    </row>
    <row r="26" spans="1:3" ht="14.25" customHeight="1">
      <c r="A26" s="15"/>
    </row>
    <row r="27" spans="1:3">
      <c r="A27" s="87"/>
    </row>
  </sheetData>
  <mergeCells count="4">
    <mergeCell ref="A1:C1"/>
    <mergeCell ref="A4:B4"/>
    <mergeCell ref="A10:B10"/>
    <mergeCell ref="A15:B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80"/>
  <sheetViews>
    <sheetView workbookViewId="0">
      <selection activeCell="C61" sqref="C61"/>
    </sheetView>
  </sheetViews>
  <sheetFormatPr defaultColWidth="8.6328125" defaultRowHeight="14.5"/>
  <cols>
    <col min="1" max="1" width="76.54296875" customWidth="1"/>
    <col min="2" max="7" width="15" customWidth="1"/>
  </cols>
  <sheetData>
    <row r="2" spans="1:7" ht="14.25" customHeight="1">
      <c r="A2" s="168" t="s">
        <v>202</v>
      </c>
      <c r="B2" s="17" t="s">
        <v>79</v>
      </c>
      <c r="C2" s="18" t="s">
        <v>80</v>
      </c>
      <c r="D2" s="18" t="s">
        <v>81</v>
      </c>
      <c r="E2" s="18" t="s">
        <v>82</v>
      </c>
      <c r="F2" s="18" t="s">
        <v>83</v>
      </c>
      <c r="G2" s="18" t="s">
        <v>84</v>
      </c>
    </row>
    <row r="3" spans="1:7" ht="16.5" customHeight="1">
      <c r="A3" s="168"/>
      <c r="B3" s="39" t="s">
        <v>203</v>
      </c>
      <c r="C3" s="161" t="s">
        <v>87</v>
      </c>
      <c r="D3" s="161"/>
      <c r="E3" s="161"/>
      <c r="F3" s="161"/>
      <c r="G3" s="161"/>
    </row>
    <row r="4" spans="1:7" ht="14.25" customHeight="1">
      <c r="A4" s="21" t="s">
        <v>2</v>
      </c>
      <c r="B4" s="1" t="s">
        <v>7</v>
      </c>
      <c r="C4" s="20" t="s">
        <v>88</v>
      </c>
      <c r="D4" s="20" t="s">
        <v>89</v>
      </c>
      <c r="E4" s="20" t="s">
        <v>90</v>
      </c>
      <c r="F4" s="20" t="s">
        <v>91</v>
      </c>
      <c r="G4" s="20" t="s">
        <v>92</v>
      </c>
    </row>
    <row r="5" spans="1:7" ht="14.25" customHeight="1">
      <c r="A5" s="98" t="s">
        <v>204</v>
      </c>
      <c r="B5" s="22"/>
      <c r="C5" s="23"/>
      <c r="D5" s="23"/>
      <c r="E5" s="23"/>
      <c r="F5" s="23"/>
      <c r="G5" s="23"/>
    </row>
    <row r="6" spans="1:7" ht="14.25" customHeight="1">
      <c r="A6" s="40" t="s">
        <v>8</v>
      </c>
      <c r="B6" s="41">
        <f>Actuals!F6</f>
        <v>6812.9</v>
      </c>
      <c r="C6" s="42">
        <f>B6*(1+Assumptions!E7)</f>
        <v>7834.8349999999991</v>
      </c>
      <c r="D6" s="42">
        <f>C6*(1+Assumptions!F7)</f>
        <v>9010.0602499999986</v>
      </c>
      <c r="E6" s="42">
        <f>D6*(1+Assumptions!G7)</f>
        <v>10361.569287499997</v>
      </c>
      <c r="F6" s="42">
        <f>E6*(1+Assumptions!H7)</f>
        <v>11915.804680624995</v>
      </c>
      <c r="G6" s="42">
        <f>F6*(1+Assumptions!I7)</f>
        <v>13703.175382718744</v>
      </c>
    </row>
    <row r="7" spans="1:7" ht="14.25" customHeight="1">
      <c r="A7" t="s">
        <v>205</v>
      </c>
      <c r="B7" s="41">
        <f>B6*Assumptions!D8</f>
        <v>4117.4399999999996</v>
      </c>
      <c r="C7" s="42">
        <f>C6*Assumptions!E8</f>
        <v>4700.9009999999989</v>
      </c>
      <c r="D7" s="42">
        <f>D6*Assumptions!F8</f>
        <v>5406.036149999999</v>
      </c>
      <c r="E7" s="42">
        <f>E6*Assumptions!G8</f>
        <v>6216.9415724999981</v>
      </c>
      <c r="F7" s="42">
        <f>F6*Assumptions!H8</f>
        <v>7149.4828083749971</v>
      </c>
      <c r="G7" s="42">
        <f>G6*Assumptions!I8</f>
        <v>8221.9052296312457</v>
      </c>
    </row>
    <row r="8" spans="1:7" ht="14.25" customHeight="1">
      <c r="A8" t="s">
        <v>20</v>
      </c>
      <c r="B8" s="41">
        <f>B6*Assumptions!D9</f>
        <v>895.45</v>
      </c>
      <c r="C8" s="42">
        <f>C6*Assumptions!E9</f>
        <v>1018.5285499999999</v>
      </c>
      <c r="D8" s="42">
        <f>D6*Assumptions!F9</f>
        <v>1171.3078324999999</v>
      </c>
      <c r="E8" s="42">
        <f>E6*Assumptions!G9</f>
        <v>1347.0040073749997</v>
      </c>
      <c r="F8" s="42">
        <f>F6*Assumptions!H9</f>
        <v>1549.0546084812495</v>
      </c>
      <c r="G8" s="42">
        <f>G6*Assumptions!I9</f>
        <v>1781.4127997534367</v>
      </c>
    </row>
    <row r="9" spans="1:7" ht="14.25" customHeight="1">
      <c r="A9" s="43" t="s">
        <v>22</v>
      </c>
      <c r="B9" s="41">
        <f>B6*Assumptions!D10</f>
        <v>1444.28</v>
      </c>
      <c r="C9" s="42">
        <f>C6*Assumptions!E10</f>
        <v>1645.3153499999999</v>
      </c>
      <c r="D9" s="42">
        <f>D6*Assumptions!F10</f>
        <v>1892.1126524999997</v>
      </c>
      <c r="E9" s="42">
        <f>E6*Assumptions!G10</f>
        <v>2175.9295503749991</v>
      </c>
      <c r="F9" s="42">
        <f>F6*Assumptions!H10</f>
        <v>2502.3189829312487</v>
      </c>
      <c r="G9" s="42">
        <f>G6*Assumptions!I10</f>
        <v>2877.6668303709362</v>
      </c>
    </row>
    <row r="10" spans="1:7" ht="14.25" customHeight="1">
      <c r="A10" s="44" t="s">
        <v>26</v>
      </c>
      <c r="B10" s="41">
        <f>Actuals!F15</f>
        <v>1826.0900000000001</v>
      </c>
      <c r="C10" s="42">
        <f>C7-C8-C9</f>
        <v>2037.0570999999991</v>
      </c>
      <c r="D10" s="42">
        <f>D7-D8-D9</f>
        <v>2342.6156649999994</v>
      </c>
      <c r="E10" s="42">
        <f>E7-E8-E9</f>
        <v>2694.0080147499993</v>
      </c>
      <c r="F10" s="42">
        <f>F7-F8-F9</f>
        <v>3098.109216962499</v>
      </c>
      <c r="G10" s="42">
        <f>G7-G8-G9</f>
        <v>3562.8255995068725</v>
      </c>
    </row>
    <row r="11" spans="1:7" ht="14.25" customHeight="1">
      <c r="A11" s="43" t="s">
        <v>28</v>
      </c>
      <c r="B11" s="41">
        <f>Actuals!F16</f>
        <v>480.05</v>
      </c>
      <c r="C11" s="42">
        <f>C6*Assumptions!E14</f>
        <v>587.61262499999987</v>
      </c>
      <c r="D11" s="42">
        <f>D6*Assumptions!F14</f>
        <v>675.75451874999987</v>
      </c>
      <c r="E11" s="42">
        <f>E6*Assumptions!G14</f>
        <v>777.11769656249976</v>
      </c>
      <c r="F11" s="42">
        <f>F6*Assumptions!H14</f>
        <v>893.68535104687464</v>
      </c>
      <c r="G11" s="42">
        <f>G6*Assumptions!I14</f>
        <v>1027.7381537039057</v>
      </c>
    </row>
    <row r="12" spans="1:7" ht="14.25" customHeight="1">
      <c r="A12" s="40" t="s">
        <v>206</v>
      </c>
      <c r="B12" s="45">
        <f t="shared" ref="B12:G12" si="0">B10-B11</f>
        <v>1346.0400000000002</v>
      </c>
      <c r="C12" s="46">
        <f t="shared" si="0"/>
        <v>1449.4444749999993</v>
      </c>
      <c r="D12" s="46">
        <f t="shared" si="0"/>
        <v>1666.8611462499994</v>
      </c>
      <c r="E12" s="46">
        <f t="shared" si="0"/>
        <v>1916.8903181874996</v>
      </c>
      <c r="F12" s="46">
        <f t="shared" si="0"/>
        <v>2204.4238659156244</v>
      </c>
      <c r="G12" s="46">
        <f t="shared" si="0"/>
        <v>2535.0874458029666</v>
      </c>
    </row>
    <row r="13" spans="1:7" ht="14.25" customHeight="1">
      <c r="A13" t="s">
        <v>207</v>
      </c>
      <c r="B13" s="41">
        <f>Actuals!M30+Actuals!M37</f>
        <v>2397.4900000000002</v>
      </c>
      <c r="C13" s="42">
        <f>$B$13</f>
        <v>2397.4900000000002</v>
      </c>
      <c r="D13" s="42">
        <f>$B$13</f>
        <v>2397.4900000000002</v>
      </c>
      <c r="E13" s="42">
        <f>$B$13</f>
        <v>2397.4900000000002</v>
      </c>
      <c r="F13" s="42">
        <f>$B$13</f>
        <v>2397.4900000000002</v>
      </c>
      <c r="G13" s="42">
        <f>$B$13</f>
        <v>2397.4900000000002</v>
      </c>
    </row>
    <row r="14" spans="1:7" ht="14.25" customHeight="1">
      <c r="A14" t="s">
        <v>208</v>
      </c>
      <c r="B14" s="41">
        <f>Actuals!F18</f>
        <v>170.73</v>
      </c>
      <c r="C14" s="42">
        <f>C13*Assumptions!E16</f>
        <v>167.82430000000002</v>
      </c>
      <c r="D14" s="42">
        <f>D13*Assumptions!F16</f>
        <v>167.82430000000002</v>
      </c>
      <c r="E14" s="42">
        <f>E13*Assumptions!G16</f>
        <v>167.82430000000002</v>
      </c>
      <c r="F14" s="42">
        <f>F13*Assumptions!H16</f>
        <v>167.82430000000002</v>
      </c>
      <c r="G14" s="42">
        <f>G13*Assumptions!I16</f>
        <v>167.82430000000002</v>
      </c>
    </row>
    <row r="15" spans="1:7" ht="14.25" customHeight="1">
      <c r="A15" s="47" t="s">
        <v>30</v>
      </c>
      <c r="B15" s="41">
        <f>-Actuals!F17</f>
        <v>6.57</v>
      </c>
      <c r="C15" s="42">
        <f>-Actuals!$F$17</f>
        <v>6.57</v>
      </c>
      <c r="D15" s="42">
        <f>-Actuals!$F$17</f>
        <v>6.57</v>
      </c>
      <c r="E15" s="42">
        <f>-Actuals!$F$17</f>
        <v>6.57</v>
      </c>
      <c r="F15" s="42">
        <f>-Actuals!$F$17</f>
        <v>6.57</v>
      </c>
      <c r="G15" s="42">
        <f>-Actuals!$F$17</f>
        <v>6.57</v>
      </c>
    </row>
    <row r="16" spans="1:7" ht="14.25" customHeight="1">
      <c r="A16" s="40" t="s">
        <v>209</v>
      </c>
      <c r="B16" s="41">
        <f>Actuals!F19</f>
        <v>1181.8800000000001</v>
      </c>
      <c r="C16" s="42">
        <f>C12-C14+C15</f>
        <v>1288.1901749999993</v>
      </c>
      <c r="D16" s="42">
        <f>D12-D14+D15</f>
        <v>1505.6068462499993</v>
      </c>
      <c r="E16" s="42">
        <f>E12-E14+E15</f>
        <v>1755.6360181874995</v>
      </c>
      <c r="F16" s="42">
        <f>F12-F14+F15</f>
        <v>2043.1695659156244</v>
      </c>
      <c r="G16" s="42">
        <f>G12-G14+G15</f>
        <v>2373.8331458029666</v>
      </c>
    </row>
    <row r="17" spans="1:7" ht="14.25" customHeight="1">
      <c r="A17" t="s">
        <v>210</v>
      </c>
      <c r="B17" s="41">
        <f>Actuals!F20</f>
        <v>292.02999999999997</v>
      </c>
      <c r="C17" s="42">
        <f>C16*Assumptions!E15</f>
        <v>324.23746704749976</v>
      </c>
      <c r="D17" s="42">
        <f>D16*Assumptions!F15</f>
        <v>378.96124320112477</v>
      </c>
      <c r="E17" s="42">
        <f>E16*Assumptions!G15</f>
        <v>441.89358577779359</v>
      </c>
      <c r="F17" s="42">
        <f>F16*Assumptions!H15</f>
        <v>514.26577974096267</v>
      </c>
      <c r="G17" s="42">
        <f>G16*Assumptions!I15</f>
        <v>597.49380279860668</v>
      </c>
    </row>
    <row r="18" spans="1:7" ht="14.25" customHeight="1">
      <c r="A18" s="47" t="s">
        <v>211</v>
      </c>
      <c r="B18" s="41">
        <f>Actuals!F22</f>
        <v>0.28999999999999998</v>
      </c>
      <c r="C18" s="42">
        <f>Assumptions!E17</f>
        <v>0</v>
      </c>
      <c r="D18" s="42">
        <f>Assumptions!F17</f>
        <v>0</v>
      </c>
      <c r="E18" s="42">
        <f>Assumptions!G17</f>
        <v>0</v>
      </c>
      <c r="F18" s="42">
        <f>Assumptions!H17</f>
        <v>0</v>
      </c>
      <c r="G18" s="42">
        <f>Assumptions!I17</f>
        <v>0</v>
      </c>
    </row>
    <row r="19" spans="1:7" ht="14.25" customHeight="1">
      <c r="A19" s="40" t="s">
        <v>212</v>
      </c>
      <c r="B19" s="41">
        <f>Actuals!F23</f>
        <v>890.1400000000001</v>
      </c>
      <c r="C19" s="42">
        <f>C16-C17+C18</f>
        <v>963.95270795249951</v>
      </c>
      <c r="D19" s="42">
        <f>D16-D17+D18</f>
        <v>1126.6456030488746</v>
      </c>
      <c r="E19" s="42">
        <f>E16-E17+E18</f>
        <v>1313.742432409706</v>
      </c>
      <c r="F19" s="42">
        <f>F16-F17+F18</f>
        <v>1528.9037861746617</v>
      </c>
      <c r="G19" s="42">
        <f>G16-G17+G18</f>
        <v>1776.3393430043598</v>
      </c>
    </row>
    <row r="20" spans="1:7" ht="14.25" customHeight="1">
      <c r="A20" s="47" t="s">
        <v>52</v>
      </c>
      <c r="B20" s="41">
        <f>Actuals!F24</f>
        <v>1.35</v>
      </c>
      <c r="C20" s="42">
        <f>C19*Assumptions!E18</f>
        <v>0</v>
      </c>
      <c r="D20" s="42">
        <f>D19*Assumptions!F18</f>
        <v>0</v>
      </c>
      <c r="E20" s="42">
        <f>E19*Assumptions!G18</f>
        <v>0</v>
      </c>
      <c r="F20" s="42">
        <f>F19*Assumptions!H18</f>
        <v>0</v>
      </c>
      <c r="G20" s="42">
        <f>G19*Assumptions!I18</f>
        <v>0</v>
      </c>
    </row>
    <row r="21" spans="1:7" ht="14.25" customHeight="1">
      <c r="A21" s="40" t="s">
        <v>46</v>
      </c>
      <c r="B21" s="41">
        <f>Actuals!F25</f>
        <v>888.79000000000008</v>
      </c>
      <c r="C21" s="42">
        <f>C19-C20</f>
        <v>963.95270795249951</v>
      </c>
      <c r="D21" s="42">
        <f>D19-D20</f>
        <v>1126.6456030488746</v>
      </c>
      <c r="E21" s="42">
        <f>E19-E20</f>
        <v>1313.742432409706</v>
      </c>
      <c r="F21" s="42">
        <f>F19-F20</f>
        <v>1528.9037861746617</v>
      </c>
      <c r="G21" s="42">
        <f>G19-G20</f>
        <v>1776.3393430043598</v>
      </c>
    </row>
    <row r="22" spans="1:7" ht="14.25" customHeight="1">
      <c r="A22" t="s">
        <v>213</v>
      </c>
      <c r="B22" s="41">
        <f>B21/Assumptions!D29</f>
        <v>16.463446582559218</v>
      </c>
      <c r="C22" s="42">
        <f>C21/Assumptions!E29</f>
        <v>17.855718353592277</v>
      </c>
      <c r="D22" s="42">
        <f>D21/Assumptions!F29</f>
        <v>20.869350131381275</v>
      </c>
      <c r="E22" s="42">
        <f>E21/Assumptions!G29</f>
        <v>24.33502667583862</v>
      </c>
      <c r="F22" s="42">
        <f>F21/Assumptions!H29</f>
        <v>28.320554701964561</v>
      </c>
      <c r="G22" s="42">
        <f>G21/Assumptions!I29</f>
        <v>32.903911932009372</v>
      </c>
    </row>
    <row r="23" spans="1:7" ht="14.25" customHeight="1">
      <c r="B23" s="41"/>
      <c r="C23" s="42"/>
      <c r="D23" s="42"/>
      <c r="E23" s="42"/>
      <c r="F23" s="42"/>
      <c r="G23" s="42"/>
    </row>
    <row r="24" spans="1:7" ht="14.25" customHeight="1">
      <c r="A24" s="14" t="s">
        <v>214</v>
      </c>
      <c r="B24" s="41"/>
      <c r="C24" s="42"/>
      <c r="D24" s="42"/>
      <c r="E24" s="42"/>
      <c r="F24" s="42"/>
      <c r="G24" s="42"/>
    </row>
    <row r="25" spans="1:7" ht="14.25" customHeight="1">
      <c r="A25" t="s">
        <v>215</v>
      </c>
      <c r="B25" s="41">
        <f>Actuals!M16</f>
        <v>2342.16</v>
      </c>
      <c r="C25" s="42">
        <f>C6*Assumptions!E21</f>
        <v>2663.8438999999998</v>
      </c>
      <c r="D25" s="42">
        <f>D6*Assumptions!F21</f>
        <v>3063.4204849999996</v>
      </c>
      <c r="E25" s="42">
        <f>E6*Assumptions!G21</f>
        <v>3522.9335577499992</v>
      </c>
      <c r="F25" s="42">
        <f>F6*Assumptions!H21</f>
        <v>4051.3735914124986</v>
      </c>
      <c r="G25" s="42">
        <f>G6*Assumptions!I21</f>
        <v>4659.0796301243736</v>
      </c>
    </row>
    <row r="26" spans="1:7" ht="14.25" customHeight="1">
      <c r="A26" t="s">
        <v>31</v>
      </c>
      <c r="B26" s="41">
        <f>Actuals!M17</f>
        <v>2155.04</v>
      </c>
      <c r="C26" s="42">
        <f>C6*Assumptions!E22</f>
        <v>2507.1471999999999</v>
      </c>
      <c r="D26" s="42">
        <f>D6*Assumptions!F22</f>
        <v>2883.2192799999998</v>
      </c>
      <c r="E26" s="42">
        <f>E6*Assumptions!G22</f>
        <v>3315.7021719999989</v>
      </c>
      <c r="F26" s="42">
        <f>F6*Assumptions!H22</f>
        <v>3813.0574977999986</v>
      </c>
      <c r="G26" s="42">
        <f>G6*Assumptions!I22</f>
        <v>4385.0161224699978</v>
      </c>
    </row>
    <row r="27" spans="1:7" ht="14.25" customHeight="1">
      <c r="A27" t="s">
        <v>216</v>
      </c>
      <c r="B27" s="41">
        <f>Actuals!M22</f>
        <v>214.17</v>
      </c>
      <c r="C27" s="42">
        <f>C6*Assumptions!E24</f>
        <v>235.04504999999997</v>
      </c>
      <c r="D27" s="42">
        <f>D6*Assumptions!F24</f>
        <v>270.30180749999994</v>
      </c>
      <c r="E27" s="42">
        <f>E6*Assumptions!G24</f>
        <v>310.84707862499988</v>
      </c>
      <c r="F27" s="42">
        <f>F6*Assumptions!H24</f>
        <v>357.47414041874981</v>
      </c>
      <c r="G27" s="42">
        <f>G6*Assumptions!I24</f>
        <v>411.09526148156232</v>
      </c>
    </row>
    <row r="28" spans="1:7" ht="14.25" customHeight="1">
      <c r="A28" t="s">
        <v>63</v>
      </c>
      <c r="B28" s="41">
        <f>Actuals!M38</f>
        <v>1252.0899999999999</v>
      </c>
      <c r="C28" s="42">
        <f>C6*Assumptions!E23</f>
        <v>1410.2702999999997</v>
      </c>
      <c r="D28" s="42">
        <f>D6*Assumptions!F23</f>
        <v>1621.8108449999997</v>
      </c>
      <c r="E28" s="42">
        <f>E6*Assumptions!G23</f>
        <v>1865.0824717499993</v>
      </c>
      <c r="F28" s="42">
        <f>F6*Assumptions!H23</f>
        <v>2144.8448425124989</v>
      </c>
      <c r="G28" s="42">
        <f>G6*Assumptions!I23</f>
        <v>2466.5715688893738</v>
      </c>
    </row>
    <row r="29" spans="1:7" ht="14.25" customHeight="1">
      <c r="A29" t="s">
        <v>217</v>
      </c>
      <c r="B29" s="41">
        <f>Actuals!M41</f>
        <v>161.94999999999999</v>
      </c>
      <c r="C29" s="42">
        <f>C6*Assumptions!E25</f>
        <v>156.69669999999999</v>
      </c>
      <c r="D29" s="42">
        <f>D6*Assumptions!F25</f>
        <v>180.20120499999999</v>
      </c>
      <c r="E29" s="42">
        <f>E6*Assumptions!G25</f>
        <v>207.23138574999993</v>
      </c>
      <c r="F29" s="42">
        <f>F6*Assumptions!H25</f>
        <v>238.31609361249991</v>
      </c>
      <c r="G29" s="42">
        <f>G6*Assumptions!I25</f>
        <v>274.06350765437486</v>
      </c>
    </row>
    <row r="30" spans="1:7" ht="14.25" customHeight="1">
      <c r="A30" s="40" t="s">
        <v>218</v>
      </c>
      <c r="B30" s="41">
        <f t="shared" ref="B30:G30" si="1">B25+B26+B27-B28-B29</f>
        <v>3297.33</v>
      </c>
      <c r="C30" s="42">
        <f t="shared" si="1"/>
        <v>3839.0691499999994</v>
      </c>
      <c r="D30" s="42">
        <f t="shared" si="1"/>
        <v>4414.9295224999996</v>
      </c>
      <c r="E30" s="42">
        <f t="shared" si="1"/>
        <v>5077.1689508749987</v>
      </c>
      <c r="F30" s="42">
        <f t="shared" si="1"/>
        <v>5838.7442935062491</v>
      </c>
      <c r="G30" s="42">
        <f t="shared" si="1"/>
        <v>6714.5559375321827</v>
      </c>
    </row>
    <row r="31" spans="1:7" ht="14.25" customHeight="1">
      <c r="A31" t="s">
        <v>219</v>
      </c>
      <c r="B31" s="41"/>
      <c r="C31" s="42">
        <f>C30-B30</f>
        <v>541.73914999999943</v>
      </c>
      <c r="D31" s="42">
        <f>D30-C30</f>
        <v>575.86037250000027</v>
      </c>
      <c r="E31" s="42">
        <f>E30-D30</f>
        <v>662.23942837499908</v>
      </c>
      <c r="F31" s="42">
        <f>F30-E30</f>
        <v>761.57534263125035</v>
      </c>
      <c r="G31" s="42">
        <f>G30-F30</f>
        <v>875.81164402593367</v>
      </c>
    </row>
    <row r="32" spans="1:7" ht="14.25" customHeight="1">
      <c r="A32" s="47" t="s">
        <v>220</v>
      </c>
      <c r="B32" s="41">
        <f>-Actuals!F29</f>
        <v>1069.95</v>
      </c>
      <c r="C32" s="42">
        <f>Assumptions!E28</f>
        <v>1200</v>
      </c>
      <c r="D32" s="42">
        <f>Assumptions!F28</f>
        <v>1200</v>
      </c>
      <c r="E32" s="42">
        <f>Assumptions!G28</f>
        <v>1200</v>
      </c>
      <c r="F32" s="42">
        <f>Assumptions!H28</f>
        <v>1200</v>
      </c>
      <c r="G32" s="42">
        <f>Assumptions!I28</f>
        <v>1200</v>
      </c>
    </row>
    <row r="34" spans="1:7" ht="21.75" customHeight="1">
      <c r="A34" s="169" t="s">
        <v>367</v>
      </c>
      <c r="B34" s="17" t="s">
        <v>79</v>
      </c>
      <c r="C34" s="18" t="s">
        <v>80</v>
      </c>
      <c r="D34" s="18" t="s">
        <v>81</v>
      </c>
      <c r="E34" s="18" t="s">
        <v>82</v>
      </c>
      <c r="F34" s="18" t="s">
        <v>83</v>
      </c>
      <c r="G34" s="18" t="s">
        <v>84</v>
      </c>
    </row>
    <row r="35" spans="1:7" ht="19.5" customHeight="1">
      <c r="A35" s="169"/>
      <c r="B35" s="39" t="s">
        <v>203</v>
      </c>
      <c r="C35" s="161" t="s">
        <v>87</v>
      </c>
      <c r="D35" s="161"/>
      <c r="E35" s="161"/>
      <c r="F35" s="161"/>
      <c r="G35" s="161"/>
    </row>
    <row r="36" spans="1:7" ht="19.5" customHeight="1">
      <c r="A36" s="21" t="s">
        <v>2</v>
      </c>
      <c r="B36" s="1" t="s">
        <v>7</v>
      </c>
      <c r="C36" s="20" t="s">
        <v>88</v>
      </c>
      <c r="D36" s="20" t="s">
        <v>89</v>
      </c>
      <c r="E36" s="20" t="s">
        <v>90</v>
      </c>
      <c r="F36" s="20" t="s">
        <v>91</v>
      </c>
      <c r="G36" s="20" t="s">
        <v>92</v>
      </c>
    </row>
    <row r="37" spans="1:7" ht="19.5" customHeight="1">
      <c r="A37" t="s">
        <v>9</v>
      </c>
      <c r="B37" s="82">
        <f>Actuals!M6</f>
        <v>3873.23</v>
      </c>
      <c r="C37" s="84">
        <f>B37+C32-C11</f>
        <v>4485.6173749999998</v>
      </c>
      <c r="D37" s="84">
        <f>C37+D32-D11</f>
        <v>5009.8628562499998</v>
      </c>
      <c r="E37" s="84">
        <f>D37+E32-E11</f>
        <v>5432.7451596874998</v>
      </c>
      <c r="F37" s="84">
        <f>E37+F32-F11</f>
        <v>5739.0598086406253</v>
      </c>
      <c r="G37" s="84">
        <f>F37+G32-G11</f>
        <v>5911.3216549367198</v>
      </c>
    </row>
    <row r="38" spans="1:7" ht="19.5" customHeight="1">
      <c r="A38" t="s">
        <v>11</v>
      </c>
      <c r="B38" s="82">
        <f>Actuals!M7</f>
        <v>232.71</v>
      </c>
      <c r="C38" s="84">
        <f>C6*Assumptions!E36</f>
        <v>267.95135699999997</v>
      </c>
      <c r="D38" s="84">
        <f>D6*Assumptions!F36</f>
        <v>308.14406054999995</v>
      </c>
      <c r="E38" s="84">
        <f>E6*Assumptions!G36</f>
        <v>354.36566963249993</v>
      </c>
      <c r="F38" s="84">
        <f>F6*Assumptions!H36</f>
        <v>407.52052007737484</v>
      </c>
      <c r="G38" s="84">
        <f>G6*Assumptions!I36</f>
        <v>468.64859808898109</v>
      </c>
    </row>
    <row r="39" spans="1:7" ht="19.5" customHeight="1">
      <c r="A39" t="s">
        <v>13</v>
      </c>
      <c r="B39" s="82">
        <f>Actuals!M8</f>
        <v>773.28</v>
      </c>
      <c r="C39" s="84">
        <f>C6*Assumptions!E37</f>
        <v>889.25377249999997</v>
      </c>
      <c r="D39" s="84">
        <f>D6*Assumptions!F37</f>
        <v>1022.6418383749999</v>
      </c>
      <c r="E39" s="84">
        <f>E6*Assumptions!G37</f>
        <v>1176.0381141312496</v>
      </c>
      <c r="F39" s="84">
        <f>F6*Assumptions!H37</f>
        <v>1352.4438312509369</v>
      </c>
      <c r="G39" s="84">
        <f>G6*Assumptions!I37</f>
        <v>1555.3104059385776</v>
      </c>
    </row>
    <row r="40" spans="1:7" ht="19.5" customHeight="1">
      <c r="A40" t="s">
        <v>15</v>
      </c>
      <c r="B40" s="82">
        <f>Actuals!M9</f>
        <v>246.3</v>
      </c>
      <c r="C40" s="84">
        <f>C6*Assumptions!E38</f>
        <v>283.62102699999997</v>
      </c>
      <c r="D40" s="84">
        <f>D6*Assumptions!F38</f>
        <v>326.16418104999997</v>
      </c>
      <c r="E40" s="84">
        <f>E6*Assumptions!G38</f>
        <v>375.08880820749994</v>
      </c>
      <c r="F40" s="84">
        <f>F6*Assumptions!H38</f>
        <v>431.35212943862484</v>
      </c>
      <c r="G40" s="84">
        <f>G6*Assumptions!I38</f>
        <v>496.05494885441857</v>
      </c>
    </row>
    <row r="41" spans="1:7" ht="19.5" customHeight="1">
      <c r="A41" t="s">
        <v>17</v>
      </c>
      <c r="B41" s="82">
        <f>Actuals!M10</f>
        <v>18.399999999999999</v>
      </c>
      <c r="C41" s="84">
        <f>C6*Assumptions!E39</f>
        <v>21.154054499999997</v>
      </c>
      <c r="D41" s="84">
        <f>D6*Assumptions!F39</f>
        <v>24.327162674999997</v>
      </c>
      <c r="E41" s="84">
        <f>E6*Assumptions!G39</f>
        <v>27.976237076249994</v>
      </c>
      <c r="F41" s="84">
        <f>F6*Assumptions!H39</f>
        <v>32.172672637687491</v>
      </c>
      <c r="G41" s="84">
        <f>G6*Assumptions!I39</f>
        <v>36.998573533340611</v>
      </c>
    </row>
    <row r="42" spans="1:7" ht="19.5" customHeight="1">
      <c r="A42" t="s">
        <v>19</v>
      </c>
      <c r="B42" s="82">
        <f>Actuals!M11</f>
        <v>309.27</v>
      </c>
      <c r="C42" s="84">
        <f>C6*Assumptions!E40</f>
        <v>355.70150899999999</v>
      </c>
      <c r="D42" s="84">
        <f>D6*Assumptions!F40</f>
        <v>409.05673534999994</v>
      </c>
      <c r="E42" s="84">
        <f>E6*Assumptions!G40</f>
        <v>470.41524565249989</v>
      </c>
      <c r="F42" s="84">
        <f>F6*Assumptions!H40</f>
        <v>540.97753250037476</v>
      </c>
      <c r="G42" s="84">
        <f>G6*Assumptions!I40</f>
        <v>622.12416237543107</v>
      </c>
    </row>
    <row r="43" spans="1:7" ht="19.5" customHeight="1">
      <c r="A43" t="s">
        <v>21</v>
      </c>
      <c r="B43" s="82">
        <f>Actuals!M12</f>
        <v>44.26</v>
      </c>
      <c r="C43" s="84">
        <f>C6*Assumptions!E41</f>
        <v>50.926427499999996</v>
      </c>
      <c r="D43" s="84">
        <f>D6*Assumptions!F41</f>
        <v>58.56539162499999</v>
      </c>
      <c r="E43" s="84">
        <f>E6*Assumptions!G41</f>
        <v>67.350200368749981</v>
      </c>
      <c r="F43" s="84">
        <f>F6*Assumptions!H41</f>
        <v>77.452730424062466</v>
      </c>
      <c r="G43" s="84">
        <f>G6*Assumptions!I41</f>
        <v>89.070639987671825</v>
      </c>
    </row>
    <row r="44" spans="1:7" ht="19.5" customHeight="1">
      <c r="A44" t="s">
        <v>221</v>
      </c>
      <c r="B44" s="82">
        <f>Actuals!M13</f>
        <v>2.44</v>
      </c>
      <c r="C44" s="84">
        <f>C6*Assumptions!E42</f>
        <v>3.133934</v>
      </c>
      <c r="D44" s="84">
        <f>D6*Assumptions!F42</f>
        <v>3.6040240999999997</v>
      </c>
      <c r="E44" s="84">
        <f>E6*Assumptions!G42</f>
        <v>4.1446277149999986</v>
      </c>
      <c r="F44" s="84">
        <f>F6*Assumptions!H42</f>
        <v>4.766321872249998</v>
      </c>
      <c r="G44" s="84">
        <f>G6*Assumptions!I42</f>
        <v>5.4812701530874977</v>
      </c>
    </row>
    <row r="45" spans="1:7" ht="19.5" customHeight="1">
      <c r="A45" s="47" t="s">
        <v>25</v>
      </c>
      <c r="B45" s="82">
        <f>Actuals!M14</f>
        <v>182.09</v>
      </c>
      <c r="C45" s="84">
        <f>C6*Assumptions!E43</f>
        <v>209.19009449999999</v>
      </c>
      <c r="D45" s="84">
        <f>D6*Assumptions!F43</f>
        <v>240.56860867499998</v>
      </c>
      <c r="E45" s="84">
        <f>E6*Assumptions!G43</f>
        <v>276.65389997624993</v>
      </c>
      <c r="F45" s="84">
        <f>F6*Assumptions!H43</f>
        <v>318.15198497268739</v>
      </c>
      <c r="G45" s="84">
        <f>G6*Assumptions!I43</f>
        <v>365.8747827185905</v>
      </c>
    </row>
    <row r="46" spans="1:7" s="88" customFormat="1" ht="19.5" customHeight="1">
      <c r="A46" s="88" t="s">
        <v>27</v>
      </c>
      <c r="B46" s="89">
        <f t="shared" ref="B46:G46" si="2">SUM(B37:B45)</f>
        <v>5681.9799999999987</v>
      </c>
      <c r="C46" s="90">
        <f t="shared" si="2"/>
        <v>6566.5495510000001</v>
      </c>
      <c r="D46" s="90">
        <f t="shared" si="2"/>
        <v>7402.93485865</v>
      </c>
      <c r="E46" s="90">
        <f t="shared" si="2"/>
        <v>8184.7779624474988</v>
      </c>
      <c r="F46" s="90">
        <f t="shared" si="2"/>
        <v>8903.8975318146258</v>
      </c>
      <c r="G46" s="90">
        <f t="shared" si="2"/>
        <v>9550.8850365868202</v>
      </c>
    </row>
    <row r="47" spans="1:7" s="88" customFormat="1" ht="19.5" customHeight="1">
      <c r="A47" s="88" t="s">
        <v>222</v>
      </c>
      <c r="B47" s="91"/>
      <c r="C47" s="92"/>
      <c r="D47" s="92"/>
      <c r="E47" s="92"/>
      <c r="F47" s="92"/>
      <c r="G47" s="92"/>
    </row>
    <row r="48" spans="1:7" ht="19.5" customHeight="1">
      <c r="A48" t="s">
        <v>215</v>
      </c>
      <c r="B48" s="82">
        <f>Actuals!M16</f>
        <v>2342.16</v>
      </c>
      <c r="C48" s="84">
        <f>C6*Assumptions!E21</f>
        <v>2663.8438999999998</v>
      </c>
      <c r="D48" s="84">
        <f>D6*Assumptions!F21</f>
        <v>3063.4204849999996</v>
      </c>
      <c r="E48" s="84">
        <f>E6*Assumptions!G21</f>
        <v>3522.9335577499992</v>
      </c>
      <c r="F48" s="84">
        <f>F6*Assumptions!H21</f>
        <v>4051.3735914124986</v>
      </c>
      <c r="G48" s="84">
        <f>G6*Assumptions!I21</f>
        <v>4659.0796301243736</v>
      </c>
    </row>
    <row r="49" spans="1:7" ht="19.5" customHeight="1">
      <c r="A49" t="s">
        <v>31</v>
      </c>
      <c r="B49" s="82">
        <f>Actuals!M17</f>
        <v>2155.04</v>
      </c>
      <c r="C49" s="84">
        <f>C6*Assumptions!E22</f>
        <v>2507.1471999999999</v>
      </c>
      <c r="D49" s="84">
        <f>D6*Assumptions!F22</f>
        <v>2883.2192799999998</v>
      </c>
      <c r="E49" s="84">
        <f>E6*Assumptions!G22</f>
        <v>3315.7021719999989</v>
      </c>
      <c r="F49" s="84">
        <f>F6*Assumptions!H22</f>
        <v>3813.0574977999986</v>
      </c>
      <c r="G49" s="84">
        <f>G6*Assumptions!I22</f>
        <v>4385.0161224699978</v>
      </c>
    </row>
    <row r="50" spans="1:7" ht="19.5" customHeight="1">
      <c r="A50" t="s">
        <v>33</v>
      </c>
      <c r="B50" s="82">
        <f>Actuals!M18</f>
        <v>112.66</v>
      </c>
      <c r="C50" s="84">
        <f>MAX(0,(C61+C69+C71+C72+C73+C74+C75+C76+C77)-(C46+C48+C49+C51+C52+C53+C54))</f>
        <v>0</v>
      </c>
      <c r="D50" s="84">
        <f>MAX(0,(D61+D69+D71+D72+D73+D74+D75+D76+D77)-(D46+D48+D49+D51+D52+D53+D54))</f>
        <v>0</v>
      </c>
      <c r="E50" s="84">
        <f>MAX(0,(E61+E69+E71+E72+E73+E74+E75+E76+E77)-(E46+E48+E49+E51+E52+E53+E54))</f>
        <v>0</v>
      </c>
      <c r="F50" s="84">
        <f>MAX(0,(F61+F69+F71+F72+F73+F74+F75+F76+F77)-(F46+F48+F49+F51+F52+F53+F54))</f>
        <v>0</v>
      </c>
      <c r="G50" s="84">
        <f>MAX(0,(G61+G69+G71+G72+G73+G74+G75+G76+G77)-(G46+G48+G49+G51+G52+G53+G54))</f>
        <v>0</v>
      </c>
    </row>
    <row r="51" spans="1:7" ht="19.5" customHeight="1">
      <c r="A51" t="s">
        <v>35</v>
      </c>
      <c r="B51" s="82">
        <f>Actuals!M19</f>
        <v>1.04</v>
      </c>
      <c r="C51" s="84">
        <f>C6*Assumptions!E44</f>
        <v>1.566967</v>
      </c>
      <c r="D51" s="84">
        <f>D6*Assumptions!F44</f>
        <v>1.8020120499999999</v>
      </c>
      <c r="E51" s="84">
        <f>E6*Assumptions!G44</f>
        <v>2.0723138574999993</v>
      </c>
      <c r="F51" s="84">
        <f>F6*Assumptions!H44</f>
        <v>2.383160936124999</v>
      </c>
      <c r="G51" s="84">
        <f>G6*Assumptions!I44</f>
        <v>2.7406350765437488</v>
      </c>
    </row>
    <row r="52" spans="1:7" ht="19.5" customHeight="1">
      <c r="A52" t="s">
        <v>37</v>
      </c>
      <c r="B52" s="82">
        <f>Actuals!M20</f>
        <v>0.93</v>
      </c>
      <c r="C52" s="84">
        <f>C6*Assumptions!E45</f>
        <v>0.7834835</v>
      </c>
      <c r="D52" s="84">
        <f>D6*Assumptions!F45</f>
        <v>0.90100602499999993</v>
      </c>
      <c r="E52" s="84">
        <f>E6*Assumptions!G45</f>
        <v>1.0361569287499997</v>
      </c>
      <c r="F52" s="84">
        <f>F6*Assumptions!H45</f>
        <v>1.1915804680624995</v>
      </c>
      <c r="G52" s="84">
        <f>G6*Assumptions!I45</f>
        <v>1.3703175382718744</v>
      </c>
    </row>
    <row r="53" spans="1:7" ht="19.5" customHeight="1">
      <c r="A53" t="s">
        <v>39</v>
      </c>
      <c r="B53" s="82">
        <f>Actuals!M21</f>
        <v>3.21</v>
      </c>
      <c r="C53" s="84">
        <f>C6*Assumptions!E46</f>
        <v>3.9174174999999996</v>
      </c>
      <c r="D53" s="84">
        <f>D6*Assumptions!F46</f>
        <v>4.5050301249999993</v>
      </c>
      <c r="E53" s="84">
        <f>E6*Assumptions!G46</f>
        <v>5.1807846437499983</v>
      </c>
      <c r="F53" s="84">
        <f>F6*Assumptions!H46</f>
        <v>5.957902340312498</v>
      </c>
      <c r="G53" s="84">
        <f>G6*Assumptions!I46</f>
        <v>6.8515876913593718</v>
      </c>
    </row>
    <row r="54" spans="1:7" ht="19.5" customHeight="1">
      <c r="A54" s="93" t="s">
        <v>41</v>
      </c>
      <c r="B54" s="82">
        <f>Actuals!M22</f>
        <v>214.17</v>
      </c>
      <c r="C54" s="84">
        <f>C6*Assumptions!E24</f>
        <v>235.04504999999997</v>
      </c>
      <c r="D54" s="84">
        <f>D6*Assumptions!F24</f>
        <v>270.30180749999994</v>
      </c>
      <c r="E54" s="84">
        <f>E6*Assumptions!G24</f>
        <v>310.84707862499988</v>
      </c>
      <c r="F54" s="84">
        <f>F6*Assumptions!H24</f>
        <v>357.47414041874981</v>
      </c>
      <c r="G54" s="84">
        <f>G6*Assumptions!I24</f>
        <v>411.09526148156232</v>
      </c>
    </row>
    <row r="55" spans="1:7" s="88" customFormat="1" ht="19.5" customHeight="1">
      <c r="A55" s="95" t="s">
        <v>43</v>
      </c>
      <c r="B55" s="89">
        <f t="shared" ref="B55:G55" si="3">SUM(B48:B54)</f>
        <v>4829.21</v>
      </c>
      <c r="C55" s="90">
        <f t="shared" si="3"/>
        <v>5412.3040179999989</v>
      </c>
      <c r="D55" s="90">
        <f t="shared" si="3"/>
        <v>6224.1496207</v>
      </c>
      <c r="E55" s="90">
        <f t="shared" si="3"/>
        <v>7157.7720638049977</v>
      </c>
      <c r="F55" s="90">
        <f t="shared" si="3"/>
        <v>8231.4378733757476</v>
      </c>
      <c r="G55" s="90">
        <f t="shared" si="3"/>
        <v>9466.1535543821064</v>
      </c>
    </row>
    <row r="56" spans="1:7" s="88" customFormat="1" ht="19.5" customHeight="1">
      <c r="A56" s="88" t="s">
        <v>45</v>
      </c>
      <c r="B56" s="89">
        <f t="shared" ref="B56:G56" si="4">B46+B55</f>
        <v>10511.189999999999</v>
      </c>
      <c r="C56" s="90">
        <f t="shared" si="4"/>
        <v>11978.853568999999</v>
      </c>
      <c r="D56" s="90">
        <f t="shared" si="4"/>
        <v>13627.08447935</v>
      </c>
      <c r="E56" s="90">
        <f t="shared" si="4"/>
        <v>15342.550026252497</v>
      </c>
      <c r="F56" s="90">
        <f t="shared" si="4"/>
        <v>17135.335405190373</v>
      </c>
      <c r="G56" s="90">
        <f t="shared" si="4"/>
        <v>19017.038590968928</v>
      </c>
    </row>
    <row r="57" spans="1:7" ht="19.5" customHeight="1">
      <c r="A57" t="s">
        <v>223</v>
      </c>
      <c r="B57" s="83"/>
      <c r="C57" s="86"/>
      <c r="D57" s="86"/>
      <c r="E57" s="86"/>
      <c r="F57" s="86"/>
      <c r="G57" s="86"/>
    </row>
    <row r="58" spans="1:7" ht="19.5" customHeight="1">
      <c r="A58" t="s">
        <v>47</v>
      </c>
      <c r="B58" s="82">
        <f>Actuals!M25</f>
        <v>107.97</v>
      </c>
      <c r="C58" s="84">
        <f>Assumptions!$D$47</f>
        <v>107.97</v>
      </c>
      <c r="D58" s="84">
        <f>Assumptions!$D$47</f>
        <v>107.97</v>
      </c>
      <c r="E58" s="84">
        <f>Assumptions!$D$47</f>
        <v>107.97</v>
      </c>
      <c r="F58" s="84">
        <f>Assumptions!$D$47</f>
        <v>107.97</v>
      </c>
      <c r="G58" s="84">
        <f>Assumptions!$D$47</f>
        <v>107.97</v>
      </c>
    </row>
    <row r="59" spans="1:7" ht="19.5" customHeight="1">
      <c r="A59" t="s">
        <v>224</v>
      </c>
      <c r="B59" s="82">
        <f>Actuals!M26</f>
        <v>5192.09</v>
      </c>
      <c r="C59" s="84">
        <f>B59+C21-C21*Assumptions!E62</f>
        <v>5963.252166362</v>
      </c>
      <c r="D59" s="84">
        <f>C59+D21-D21*Assumptions!F62</f>
        <v>6864.5686488010997</v>
      </c>
      <c r="E59" s="84">
        <f>D59+E21-E21*Assumptions!G62</f>
        <v>7915.5625947288645</v>
      </c>
      <c r="F59" s="84">
        <f>E59+F21-F21*Assumptions!H62</f>
        <v>9138.6856236685944</v>
      </c>
      <c r="G59" s="84">
        <f>F59+G21-G21*Assumptions!I62</f>
        <v>10559.757098072083</v>
      </c>
    </row>
    <row r="60" spans="1:7" ht="19.5" customHeight="1">
      <c r="A60" s="47" t="s">
        <v>52</v>
      </c>
      <c r="B60" s="82">
        <f>Actuals!M28</f>
        <v>131.30000000000001</v>
      </c>
      <c r="C60" s="103">
        <f>Assumptions!$E$48</f>
        <v>131.30000000000001</v>
      </c>
      <c r="D60" s="103">
        <f>Assumptions!$E$48</f>
        <v>131.30000000000001</v>
      </c>
      <c r="E60" s="103">
        <f>Assumptions!$E$48</f>
        <v>131.30000000000001</v>
      </c>
      <c r="F60" s="103">
        <f>Assumptions!$E$48</f>
        <v>131.30000000000001</v>
      </c>
      <c r="G60" s="103">
        <f>Assumptions!$E$48</f>
        <v>131.30000000000001</v>
      </c>
    </row>
    <row r="61" spans="1:7" s="88" customFormat="1" ht="19.5" customHeight="1">
      <c r="A61" s="88" t="s">
        <v>54</v>
      </c>
      <c r="B61" s="89">
        <f t="shared" ref="B61:G61" si="5">SUM(B58:B60)</f>
        <v>5431.3600000000006</v>
      </c>
      <c r="C61" s="90">
        <f t="shared" si="5"/>
        <v>6202.5221663620005</v>
      </c>
      <c r="D61" s="90">
        <f t="shared" si="5"/>
        <v>7103.8386488011001</v>
      </c>
      <c r="E61" s="90">
        <f t="shared" si="5"/>
        <v>8154.8325947288649</v>
      </c>
      <c r="F61" s="90">
        <f t="shared" si="5"/>
        <v>9377.955623668593</v>
      </c>
      <c r="G61" s="90">
        <f t="shared" si="5"/>
        <v>10799.027098072082</v>
      </c>
    </row>
    <row r="62" spans="1:7" s="88" customFormat="1" ht="19.5" customHeight="1">
      <c r="A62" s="88" t="s">
        <v>225</v>
      </c>
      <c r="B62" s="91"/>
      <c r="C62" s="92"/>
      <c r="D62" s="92"/>
      <c r="E62" s="92"/>
      <c r="F62" s="92"/>
      <c r="G62" s="92"/>
    </row>
    <row r="63" spans="1:7" ht="19.5" customHeight="1">
      <c r="A63" t="s">
        <v>55</v>
      </c>
      <c r="B63" s="82">
        <f>Actuals!M30</f>
        <v>611.34</v>
      </c>
      <c r="C63" s="84">
        <f>Actuals!$M$30</f>
        <v>611.34</v>
      </c>
      <c r="D63" s="84">
        <f>Actuals!$M$30</f>
        <v>611.34</v>
      </c>
      <c r="E63" s="84">
        <f>Actuals!$M$30</f>
        <v>611.34</v>
      </c>
      <c r="F63" s="84">
        <f>Actuals!$M$30</f>
        <v>611.34</v>
      </c>
      <c r="G63" s="84">
        <f>Actuals!$M$30</f>
        <v>611.34</v>
      </c>
    </row>
    <row r="64" spans="1:7" ht="19.5" customHeight="1">
      <c r="A64" t="s">
        <v>56</v>
      </c>
      <c r="B64" s="82">
        <f>Actuals!M31</f>
        <v>111.49</v>
      </c>
      <c r="C64" s="84">
        <f>C6*Assumptions!E50</f>
        <v>128.49129400000001</v>
      </c>
      <c r="D64" s="84">
        <f>D6*Assumptions!F50</f>
        <v>147.76498809999998</v>
      </c>
      <c r="E64" s="84">
        <f>E6*Assumptions!G50</f>
        <v>169.92973631499996</v>
      </c>
      <c r="F64" s="84">
        <f>F6*Assumptions!H50</f>
        <v>195.41919676224992</v>
      </c>
      <c r="G64" s="84">
        <f>G6*Assumptions!I50</f>
        <v>224.73207627658741</v>
      </c>
    </row>
    <row r="65" spans="1:7" ht="19.5" customHeight="1">
      <c r="A65" t="s">
        <v>57</v>
      </c>
      <c r="B65" s="82">
        <f>Actuals!M32</f>
        <v>20.63</v>
      </c>
      <c r="C65" s="84">
        <f>C6*Assumptions!E51</f>
        <v>23.504504999999998</v>
      </c>
      <c r="D65" s="84">
        <f>D6*Assumptions!F51</f>
        <v>27.030180749999996</v>
      </c>
      <c r="E65" s="84">
        <f>E6*Assumptions!G51</f>
        <v>31.08470786249999</v>
      </c>
      <c r="F65" s="84">
        <f>F6*Assumptions!H51</f>
        <v>35.747414041874983</v>
      </c>
      <c r="G65" s="84">
        <f>G6*Assumptions!I51</f>
        <v>41.109526148156235</v>
      </c>
    </row>
    <row r="66" spans="1:7" ht="19.5" customHeight="1">
      <c r="A66" t="s">
        <v>58</v>
      </c>
      <c r="B66" s="82">
        <f>Actuals!M33</f>
        <v>132.09</v>
      </c>
      <c r="C66" s="84">
        <f>C6*Assumptions!E52</f>
        <v>151.99579899999998</v>
      </c>
      <c r="D66" s="84">
        <f>D6*Assumptions!F52</f>
        <v>174.79516884999998</v>
      </c>
      <c r="E66" s="84">
        <f>E6*Assumptions!G52</f>
        <v>201.01444417749994</v>
      </c>
      <c r="F66" s="84">
        <f>F6*Assumptions!H52</f>
        <v>231.1666108041249</v>
      </c>
      <c r="G66" s="84">
        <f>G6*Assumptions!I52</f>
        <v>265.84160242474366</v>
      </c>
    </row>
    <row r="67" spans="1:7" ht="19.5" customHeight="1">
      <c r="A67" t="s">
        <v>226</v>
      </c>
      <c r="B67" s="82">
        <f>Actuals!M34</f>
        <v>29.38</v>
      </c>
      <c r="C67" s="84">
        <f>C6*Assumptions!E53</f>
        <v>33.689790499999994</v>
      </c>
      <c r="D67" s="84">
        <f>D6*Assumptions!F53</f>
        <v>38.743259074999997</v>
      </c>
      <c r="E67" s="84">
        <f>E6*Assumptions!G53</f>
        <v>44.554747936249989</v>
      </c>
      <c r="F67" s="84">
        <f>F6*Assumptions!H53</f>
        <v>51.237960126687476</v>
      </c>
      <c r="G67" s="84">
        <f>G6*Assumptions!I53</f>
        <v>58.923654145690598</v>
      </c>
    </row>
    <row r="68" spans="1:7" ht="19.5" customHeight="1">
      <c r="A68" s="47" t="s">
        <v>60</v>
      </c>
      <c r="B68" s="82">
        <f>Actuals!M35</f>
        <v>539.47</v>
      </c>
      <c r="C68" s="84">
        <f>C6*Assumptions!E54</f>
        <v>620.51893199999995</v>
      </c>
      <c r="D68" s="84">
        <f>D6*Assumptions!F54</f>
        <v>713.59677179999994</v>
      </c>
      <c r="E68" s="84">
        <f>E6*Assumptions!G54</f>
        <v>820.63628756999981</v>
      </c>
      <c r="F68" s="84">
        <f>F6*Assumptions!H54</f>
        <v>943.73173070549967</v>
      </c>
      <c r="G68" s="84">
        <f>G6*Assumptions!I54</f>
        <v>1085.2914903113247</v>
      </c>
    </row>
    <row r="69" spans="1:7" s="88" customFormat="1" ht="19.5" customHeight="1">
      <c r="A69" s="88" t="s">
        <v>61</v>
      </c>
      <c r="B69" s="89">
        <f t="shared" ref="B69:G69" si="6">SUM(B63:B68)</f>
        <v>1444.4</v>
      </c>
      <c r="C69" s="90">
        <f t="shared" si="6"/>
        <v>1569.5403204999998</v>
      </c>
      <c r="D69" s="90">
        <f t="shared" si="6"/>
        <v>1713.2703685749998</v>
      </c>
      <c r="E69" s="90">
        <f t="shared" si="6"/>
        <v>1878.5599238612499</v>
      </c>
      <c r="F69" s="90">
        <f t="shared" si="6"/>
        <v>2068.6429124404372</v>
      </c>
      <c r="G69" s="90">
        <f t="shared" si="6"/>
        <v>2287.2383493065026</v>
      </c>
    </row>
    <row r="70" spans="1:7" ht="19.5" customHeight="1">
      <c r="A70" s="88" t="s">
        <v>227</v>
      </c>
      <c r="B70" s="83"/>
      <c r="C70" s="86"/>
      <c r="D70" s="86"/>
      <c r="E70" s="86"/>
      <c r="F70" s="86"/>
      <c r="G70" s="86"/>
    </row>
    <row r="71" spans="1:7" ht="19.5" customHeight="1">
      <c r="A71" t="s">
        <v>363</v>
      </c>
      <c r="B71" s="82">
        <f>Actuals!M37</f>
        <v>1786.15</v>
      </c>
      <c r="C71" s="84">
        <f>Assumptions!E55+MAX(0,(C46+C48+C49+C51+C52+C53+C54)-(C61+C69+C72+C73+C74+C75+C76+C77+Assumptions!E55))</f>
        <v>2138.394642138001</v>
      </c>
      <c r="D71" s="84">
        <f>Assumptions!F55+MAX(0,(D46+D48+D49+D51+D52+D53+D54)-(D61+D69+D72+D73+D74+D75+D76+D77+Assumptions!F55))</f>
        <v>2431.3195559739002</v>
      </c>
      <c r="E71" s="84">
        <f>Assumptions!G55+MAX(0,(E46+E48+E49+E51+E52+E53+E54)-(E61+E69+E72+E73+E74+E75+E76+E77+Assumptions!G55))</f>
        <v>2573.7032157623821</v>
      </c>
      <c r="F71" s="84">
        <f>Assumptions!H55+MAX(0,(F46+F48+F49+F51+F52+F53+F54)-(F61+F69+F72+F73+F74+F75+F76+F77+Assumptions!H55))</f>
        <v>2542.9644333963465</v>
      </c>
      <c r="G71" s="84">
        <f>Assumptions!I55+MAX(0,(G46+G48+G49+G51+G52+G53+G54)-(G61+G69+G72+G73+G74+G75+G76+G77+Assumptions!I55))</f>
        <v>2313.1348425525962</v>
      </c>
    </row>
    <row r="72" spans="1:7" ht="19.5" customHeight="1">
      <c r="A72" t="s">
        <v>63</v>
      </c>
      <c r="B72" s="82">
        <f>Actuals!M38</f>
        <v>1252.0899999999999</v>
      </c>
      <c r="C72" s="84">
        <f>C6*Assumptions!E23</f>
        <v>1410.2702999999997</v>
      </c>
      <c r="D72" s="84">
        <f>D6*Assumptions!F23</f>
        <v>1621.8108449999997</v>
      </c>
      <c r="E72" s="84">
        <f>E6*Assumptions!G23</f>
        <v>1865.0824717499993</v>
      </c>
      <c r="F72" s="84">
        <f>F6*Assumptions!H23</f>
        <v>2144.8448425124989</v>
      </c>
      <c r="G72" s="84">
        <f>G6*Assumptions!I23</f>
        <v>2466.5715688893738</v>
      </c>
    </row>
    <row r="73" spans="1:7" ht="19.5" customHeight="1">
      <c r="A73" t="s">
        <v>64</v>
      </c>
      <c r="B73" s="82">
        <f>Actuals!M39</f>
        <v>9.5</v>
      </c>
      <c r="C73" s="84">
        <f>C6*Assumptions!E56</f>
        <v>10.968768999999998</v>
      </c>
      <c r="D73" s="84">
        <f>D6*Assumptions!F56</f>
        <v>12.614084349999999</v>
      </c>
      <c r="E73" s="84">
        <f>E6*Assumptions!G56</f>
        <v>14.506197002499995</v>
      </c>
      <c r="F73" s="84">
        <f>F6*Assumptions!H56</f>
        <v>16.682126552874994</v>
      </c>
      <c r="G73" s="84">
        <f>G6*Assumptions!I56</f>
        <v>19.18444553580624</v>
      </c>
    </row>
    <row r="74" spans="1:7" ht="19.5" customHeight="1">
      <c r="A74" t="s">
        <v>65</v>
      </c>
      <c r="B74" s="82">
        <f>Actuals!M40</f>
        <v>333.58</v>
      </c>
      <c r="C74" s="84">
        <f>C6*Assumptions!E57</f>
        <v>383.90691499999997</v>
      </c>
      <c r="D74" s="84">
        <f>D6*Assumptions!F57</f>
        <v>441.49295224999997</v>
      </c>
      <c r="E74" s="84">
        <f>E6*Assumptions!G57</f>
        <v>507.71689508749984</v>
      </c>
      <c r="F74" s="84">
        <f>F6*Assumptions!H57</f>
        <v>583.87442935062472</v>
      </c>
      <c r="G74" s="84">
        <f>G6*Assumptions!I57</f>
        <v>671.45559375321852</v>
      </c>
    </row>
    <row r="75" spans="1:7" ht="19.5" customHeight="1">
      <c r="A75" t="s">
        <v>66</v>
      </c>
      <c r="B75" s="82">
        <f>Actuals!M41</f>
        <v>161.94999999999999</v>
      </c>
      <c r="C75" s="84">
        <f>C6*Assumptions!E25</f>
        <v>156.69669999999999</v>
      </c>
      <c r="D75" s="84">
        <f>D6*Assumptions!F25</f>
        <v>180.20120499999999</v>
      </c>
      <c r="E75" s="84">
        <f>E6*Assumptions!G25</f>
        <v>207.23138574999993</v>
      </c>
      <c r="F75" s="84">
        <f>F6*Assumptions!H25</f>
        <v>238.31609361249991</v>
      </c>
      <c r="G75" s="84">
        <f>G6*Assumptions!I25</f>
        <v>274.06350765437486</v>
      </c>
    </row>
    <row r="76" spans="1:7" ht="19.5" customHeight="1">
      <c r="A76" t="s">
        <v>67</v>
      </c>
      <c r="B76" s="82">
        <f>Actuals!M42</f>
        <v>37.89</v>
      </c>
      <c r="C76" s="84">
        <f>C6*Assumptions!E58</f>
        <v>43.875075999999993</v>
      </c>
      <c r="D76" s="84">
        <f>D6*Assumptions!F58</f>
        <v>50.456337399999995</v>
      </c>
      <c r="E76" s="84">
        <f>E6*Assumptions!G58</f>
        <v>58.02478800999998</v>
      </c>
      <c r="F76" s="84">
        <f>F6*Assumptions!H58</f>
        <v>66.728506211499976</v>
      </c>
      <c r="G76" s="84">
        <f>G6*Assumptions!I58</f>
        <v>76.737782143224962</v>
      </c>
    </row>
    <row r="77" spans="1:7" ht="19.5" customHeight="1">
      <c r="A77" s="93" t="s">
        <v>228</v>
      </c>
      <c r="B77" s="82">
        <f>Actuals!M43</f>
        <v>54.27</v>
      </c>
      <c r="C77" s="84">
        <f>C6*Assumptions!E59</f>
        <v>62.678679999999993</v>
      </c>
      <c r="D77" s="84">
        <f>D6*Assumptions!F59</f>
        <v>72.080481999999989</v>
      </c>
      <c r="E77" s="84">
        <f>E6*Assumptions!G59</f>
        <v>82.892554299999972</v>
      </c>
      <c r="F77" s="84">
        <f>F6*Assumptions!H59</f>
        <v>95.326437444999968</v>
      </c>
      <c r="G77" s="84">
        <f>G6*Assumptions!I59</f>
        <v>109.62540306174995</v>
      </c>
    </row>
    <row r="78" spans="1:7" s="88" customFormat="1" ht="19.5" customHeight="1">
      <c r="A78" s="95" t="s">
        <v>69</v>
      </c>
      <c r="B78" s="89">
        <f t="shared" ref="B78:G78" si="7">SUM(B71:B77)</f>
        <v>3635.4299999999994</v>
      </c>
      <c r="C78" s="90">
        <f t="shared" si="7"/>
        <v>4206.791082138001</v>
      </c>
      <c r="D78" s="90">
        <f t="shared" si="7"/>
        <v>4809.9754619739006</v>
      </c>
      <c r="E78" s="90">
        <f t="shared" si="7"/>
        <v>5309.1575076623812</v>
      </c>
      <c r="F78" s="90">
        <f t="shared" si="7"/>
        <v>5688.7368690813446</v>
      </c>
      <c r="G78" s="90">
        <f t="shared" si="7"/>
        <v>5930.7731435903443</v>
      </c>
    </row>
    <row r="79" spans="1:7" s="88" customFormat="1" ht="19.5" customHeight="1">
      <c r="A79" s="95" t="s">
        <v>70</v>
      </c>
      <c r="B79" s="89">
        <f t="shared" ref="B79:G79" si="8">B61+B69+B78</f>
        <v>10511.189999999999</v>
      </c>
      <c r="C79" s="90">
        <f t="shared" si="8"/>
        <v>11978.853569000001</v>
      </c>
      <c r="D79" s="90">
        <f t="shared" si="8"/>
        <v>13627.08447935</v>
      </c>
      <c r="E79" s="90">
        <f t="shared" si="8"/>
        <v>15342.550026252497</v>
      </c>
      <c r="F79" s="90">
        <f t="shared" si="8"/>
        <v>17135.335405190373</v>
      </c>
      <c r="G79" s="90">
        <f t="shared" si="8"/>
        <v>19017.038590968928</v>
      </c>
    </row>
    <row r="80" spans="1:7" s="88" customFormat="1" ht="19.5" customHeight="1">
      <c r="A80" s="95" t="s">
        <v>229</v>
      </c>
      <c r="B80" s="89">
        <f t="shared" ref="B80:G80" si="9">B56-B79</f>
        <v>0</v>
      </c>
      <c r="C80" s="90">
        <f t="shared" si="9"/>
        <v>0</v>
      </c>
      <c r="D80" s="90">
        <f t="shared" si="9"/>
        <v>0</v>
      </c>
      <c r="E80" s="90">
        <f t="shared" si="9"/>
        <v>0</v>
      </c>
      <c r="F80" s="90">
        <f t="shared" si="9"/>
        <v>0</v>
      </c>
      <c r="G80" s="90">
        <f t="shared" si="9"/>
        <v>0</v>
      </c>
    </row>
  </sheetData>
  <mergeCells count="4">
    <mergeCell ref="A2:A3"/>
    <mergeCell ref="C3:G3"/>
    <mergeCell ref="A34:A35"/>
    <mergeCell ref="C35:G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2"/>
  <sheetViews>
    <sheetView topLeftCell="B1" workbookViewId="0">
      <selection activeCell="I9" sqref="I9"/>
    </sheetView>
  </sheetViews>
  <sheetFormatPr defaultColWidth="8.6328125" defaultRowHeight="14.5"/>
  <cols>
    <col min="1" max="1" width="68.90625" customWidth="1"/>
    <col min="2" max="7" width="15" customWidth="1"/>
    <col min="9" max="9" width="70" customWidth="1"/>
  </cols>
  <sheetData>
    <row r="1" spans="1:9" ht="16.5" customHeight="1"/>
    <row r="2" spans="1:9" ht="14.25" customHeight="1">
      <c r="A2" s="2"/>
    </row>
    <row r="3" spans="1:9" ht="14.25" customHeight="1">
      <c r="A3" s="170" t="s">
        <v>370</v>
      </c>
      <c r="B3" s="17" t="s">
        <v>79</v>
      </c>
      <c r="C3" s="18" t="s">
        <v>80</v>
      </c>
      <c r="D3" s="18" t="s">
        <v>81</v>
      </c>
      <c r="E3" s="18" t="s">
        <v>82</v>
      </c>
      <c r="F3" s="18" t="s">
        <v>83</v>
      </c>
      <c r="G3" s="18" t="s">
        <v>84</v>
      </c>
      <c r="H3" s="2"/>
    </row>
    <row r="4" spans="1:9">
      <c r="A4" s="171"/>
      <c r="B4" s="39" t="s">
        <v>203</v>
      </c>
      <c r="C4" s="161" t="s">
        <v>87</v>
      </c>
      <c r="D4" s="161"/>
      <c r="E4" s="161"/>
      <c r="F4" s="161"/>
      <c r="G4" s="161"/>
    </row>
    <row r="5" spans="1:9" ht="14.25" customHeight="1">
      <c r="A5" s="21" t="s">
        <v>2</v>
      </c>
      <c r="B5" s="1" t="s">
        <v>7</v>
      </c>
      <c r="C5" s="20" t="s">
        <v>88</v>
      </c>
      <c r="D5" s="20" t="s">
        <v>89</v>
      </c>
      <c r="E5" s="20" t="s">
        <v>90</v>
      </c>
      <c r="F5" s="20" t="s">
        <v>91</v>
      </c>
      <c r="G5" s="20" t="s">
        <v>92</v>
      </c>
    </row>
    <row r="6" spans="1:9" ht="14.25" customHeight="1">
      <c r="A6" s="121" t="s">
        <v>230</v>
      </c>
      <c r="B6" s="122"/>
      <c r="C6" s="124"/>
      <c r="D6" s="124"/>
      <c r="E6" s="124"/>
      <c r="F6" s="124"/>
      <c r="G6" s="124"/>
    </row>
    <row r="7" spans="1:9" ht="14.25" customHeight="1">
      <c r="A7" t="s">
        <v>231</v>
      </c>
      <c r="B7" s="122"/>
      <c r="C7" s="151">
        <v>0.2</v>
      </c>
      <c r="D7" s="151">
        <v>0.2</v>
      </c>
      <c r="E7" s="151">
        <v>0.2</v>
      </c>
      <c r="F7" s="151">
        <v>0.2</v>
      </c>
      <c r="G7" s="151">
        <v>0.2</v>
      </c>
      <c r="I7" t="s">
        <v>232</v>
      </c>
    </row>
    <row r="8" spans="1:9" ht="14.25" customHeight="1">
      <c r="A8" t="s">
        <v>233</v>
      </c>
      <c r="B8" s="122"/>
      <c r="C8" s="151">
        <v>0.2</v>
      </c>
      <c r="D8" s="151">
        <v>0.2</v>
      </c>
      <c r="E8" s="151">
        <v>0.2</v>
      </c>
      <c r="F8" s="151">
        <v>0.2</v>
      </c>
      <c r="G8" s="151">
        <v>0.2</v>
      </c>
      <c r="I8" t="s">
        <v>234</v>
      </c>
    </row>
    <row r="9" spans="1:9" ht="14.25" customHeight="1">
      <c r="A9" t="s">
        <v>235</v>
      </c>
      <c r="B9" s="122"/>
      <c r="C9" s="151">
        <v>0.1</v>
      </c>
      <c r="D9" s="151">
        <v>0.1</v>
      </c>
      <c r="E9" s="151">
        <v>0.1</v>
      </c>
      <c r="F9" s="151">
        <v>0.1</v>
      </c>
      <c r="G9" s="151">
        <v>0.1</v>
      </c>
      <c r="I9" t="s">
        <v>236</v>
      </c>
    </row>
    <row r="10" spans="1:9">
      <c r="B10" s="122"/>
      <c r="C10" s="124"/>
      <c r="D10" s="124"/>
      <c r="E10" s="124"/>
      <c r="F10" s="124"/>
      <c r="G10" s="124"/>
    </row>
    <row r="11" spans="1:9" ht="14.25" customHeight="1">
      <c r="A11" s="121" t="s">
        <v>237</v>
      </c>
      <c r="B11" s="122"/>
      <c r="C11" s="124"/>
      <c r="D11" s="124"/>
      <c r="E11" s="124"/>
      <c r="F11" s="124"/>
      <c r="G11" s="124"/>
    </row>
    <row r="12" spans="1:9" ht="14.25" customHeight="1">
      <c r="A12" t="s">
        <v>238</v>
      </c>
      <c r="B12" s="82">
        <v>1896</v>
      </c>
      <c r="C12" s="84">
        <f>B12*(1+C7)</f>
        <v>2275.1999999999998</v>
      </c>
      <c r="D12" s="84">
        <f t="shared" ref="C12:G13" si="0">C12*(1+D7)</f>
        <v>2730.24</v>
      </c>
      <c r="E12" s="84">
        <f t="shared" si="0"/>
        <v>3276.2879999999996</v>
      </c>
      <c r="F12" s="84">
        <f t="shared" si="0"/>
        <v>3931.5455999999995</v>
      </c>
      <c r="G12" s="84">
        <f t="shared" si="0"/>
        <v>4717.8547199999994</v>
      </c>
      <c r="I12" t="s">
        <v>239</v>
      </c>
    </row>
    <row r="13" spans="1:9" ht="14.25" customHeight="1">
      <c r="A13" t="s">
        <v>240</v>
      </c>
      <c r="B13" s="82">
        <v>184</v>
      </c>
      <c r="C13" s="84">
        <f t="shared" si="0"/>
        <v>220.79999999999998</v>
      </c>
      <c r="D13" s="84">
        <f t="shared" si="0"/>
        <v>264.95999999999998</v>
      </c>
      <c r="E13" s="84">
        <f t="shared" si="0"/>
        <v>317.95199999999994</v>
      </c>
      <c r="F13" s="84">
        <f t="shared" si="0"/>
        <v>381.54239999999993</v>
      </c>
      <c r="G13" s="84">
        <f t="shared" si="0"/>
        <v>457.8508799999999</v>
      </c>
      <c r="I13" t="s">
        <v>241</v>
      </c>
    </row>
    <row r="14" spans="1:9" ht="14.25" customHeight="1">
      <c r="A14" s="40" t="s">
        <v>242</v>
      </c>
      <c r="B14" s="108">
        <f t="shared" ref="B14:G14" si="1">B12+B13</f>
        <v>2080</v>
      </c>
      <c r="C14" s="109">
        <f t="shared" si="1"/>
        <v>2496</v>
      </c>
      <c r="D14" s="109">
        <f t="shared" si="1"/>
        <v>2995.2</v>
      </c>
      <c r="E14" s="109">
        <f t="shared" si="1"/>
        <v>3594.2399999999993</v>
      </c>
      <c r="F14" s="109">
        <f t="shared" si="1"/>
        <v>4313.0879999999997</v>
      </c>
      <c r="G14" s="109">
        <f t="shared" si="1"/>
        <v>5175.7055999999993</v>
      </c>
    </row>
    <row r="15" spans="1:9" ht="14.25" customHeight="1">
      <c r="A15" t="s">
        <v>243</v>
      </c>
      <c r="B15" s="82">
        <f>Actuals!F6-B14</f>
        <v>4732.8999999999996</v>
      </c>
      <c r="C15" s="84">
        <f>B15*(1+C9)</f>
        <v>5206.1899999999996</v>
      </c>
      <c r="D15" s="84">
        <f>C15*(1+D9)</f>
        <v>5726.8090000000002</v>
      </c>
      <c r="E15" s="84">
        <f>D15*(1+E9)</f>
        <v>6299.4899000000005</v>
      </c>
      <c r="F15" s="84">
        <f>E15*(1+F9)</f>
        <v>6929.4388900000013</v>
      </c>
      <c r="G15" s="84">
        <f>F15*(1+G9)</f>
        <v>7622.3827790000023</v>
      </c>
      <c r="I15" t="s">
        <v>244</v>
      </c>
    </row>
    <row r="16" spans="1:9" ht="14.25" customHeight="1">
      <c r="A16" s="40" t="s">
        <v>245</v>
      </c>
      <c r="B16" s="108">
        <f t="shared" ref="B16:G16" si="2">B14+B15</f>
        <v>6812.9</v>
      </c>
      <c r="C16" s="109">
        <f t="shared" si="2"/>
        <v>7702.19</v>
      </c>
      <c r="D16" s="109">
        <f t="shared" si="2"/>
        <v>8722.009</v>
      </c>
      <c r="E16" s="109">
        <f t="shared" si="2"/>
        <v>9893.7299000000003</v>
      </c>
      <c r="F16" s="109">
        <f t="shared" si="2"/>
        <v>11242.526890000001</v>
      </c>
      <c r="G16" s="109">
        <f t="shared" si="2"/>
        <v>12798.088379000001</v>
      </c>
    </row>
    <row r="17" spans="1:7" ht="39" customHeight="1">
      <c r="A17" s="152" t="s">
        <v>383</v>
      </c>
      <c r="B17" s="123">
        <f t="shared" ref="B17:G17" si="3">B14/B16</f>
        <v>0.30530317485945779</v>
      </c>
      <c r="C17" s="115">
        <f t="shared" si="3"/>
        <v>0.3240636753962185</v>
      </c>
      <c r="D17" s="115">
        <f t="shared" si="3"/>
        <v>0.34340712099700882</v>
      </c>
      <c r="E17" s="115">
        <f t="shared" si="3"/>
        <v>0.36328462938936701</v>
      </c>
      <c r="F17" s="115">
        <f t="shared" si="3"/>
        <v>0.38364044330962677</v>
      </c>
      <c r="G17" s="115">
        <f t="shared" si="3"/>
        <v>0.4044123971274225</v>
      </c>
    </row>
    <row r="18" spans="1:7">
      <c r="B18" s="122"/>
      <c r="C18" s="124"/>
      <c r="D18" s="124"/>
      <c r="E18" s="124"/>
      <c r="F18" s="124"/>
      <c r="G18" s="124"/>
    </row>
    <row r="19" spans="1:7" ht="14.25" customHeight="1">
      <c r="A19" s="125" t="s">
        <v>246</v>
      </c>
      <c r="B19" s="122"/>
      <c r="C19" s="124"/>
      <c r="D19" s="124"/>
      <c r="E19" s="124"/>
      <c r="F19" s="124"/>
      <c r="G19" s="124"/>
    </row>
    <row r="20" spans="1:7" ht="14.25" customHeight="1">
      <c r="A20" t="s">
        <v>247</v>
      </c>
      <c r="B20" s="82">
        <f>B16-Actuals!F9-Actuals!F10-Actuals!F11</f>
        <v>4117.4399999999996</v>
      </c>
      <c r="C20" s="84">
        <f>C16*Assumptions!E8</f>
        <v>4621.3139999999994</v>
      </c>
      <c r="D20" s="84">
        <f>D16*Assumptions!F8</f>
        <v>5233.2053999999998</v>
      </c>
      <c r="E20" s="84">
        <f>E16*Assumptions!G8</f>
        <v>5936.23794</v>
      </c>
      <c r="F20" s="84">
        <f>F16*Assumptions!H8</f>
        <v>6745.5161340000004</v>
      </c>
      <c r="G20" s="84">
        <f>G16*Assumptions!I8</f>
        <v>7678.8530274000004</v>
      </c>
    </row>
    <row r="21" spans="1:7" ht="14.25" customHeight="1">
      <c r="A21" t="s">
        <v>20</v>
      </c>
      <c r="B21" s="82">
        <f>Actuals!F12</f>
        <v>895.45</v>
      </c>
      <c r="C21" s="84">
        <f>C16*Assumptions!E9</f>
        <v>1001.2846999999999</v>
      </c>
      <c r="D21" s="84">
        <f>D16*Assumptions!F9</f>
        <v>1133.8611700000001</v>
      </c>
      <c r="E21" s="84">
        <f>E16*Assumptions!G9</f>
        <v>1286.1848870000001</v>
      </c>
      <c r="F21" s="84">
        <f>F16*Assumptions!H9</f>
        <v>1461.5284957000001</v>
      </c>
      <c r="G21" s="84">
        <f>G16*Assumptions!I9</f>
        <v>1663.7514892700001</v>
      </c>
    </row>
    <row r="22" spans="1:7" ht="14.25" customHeight="1">
      <c r="A22" t="s">
        <v>22</v>
      </c>
      <c r="B22" s="82">
        <f>Actuals!F13</f>
        <v>1444.28</v>
      </c>
      <c r="C22" s="84">
        <f>C16*Assumptions!E10</f>
        <v>1617.4598999999998</v>
      </c>
      <c r="D22" s="84">
        <f>D16*Assumptions!F10</f>
        <v>1831.6218899999999</v>
      </c>
      <c r="E22" s="84">
        <f>E16*Assumptions!G10</f>
        <v>2077.6832789999999</v>
      </c>
      <c r="F22" s="84">
        <f>F16*Assumptions!H10</f>
        <v>2360.9306469000003</v>
      </c>
      <c r="G22" s="84">
        <f>G16*Assumptions!I10</f>
        <v>2687.5985595900001</v>
      </c>
    </row>
    <row r="23" spans="1:7" ht="14.25" customHeight="1">
      <c r="A23" s="40" t="s">
        <v>26</v>
      </c>
      <c r="B23" s="108">
        <f>Actuals!F15</f>
        <v>1826.0900000000001</v>
      </c>
      <c r="C23" s="109">
        <f>C20-C21-C22</f>
        <v>2002.5693999999994</v>
      </c>
      <c r="D23" s="109">
        <f>D20-D21-D22</f>
        <v>2267.7223399999998</v>
      </c>
      <c r="E23" s="109">
        <f>E20-E21-E22</f>
        <v>2572.3697739999998</v>
      </c>
      <c r="F23" s="109">
        <f>F20-F21-F22</f>
        <v>2923.0569913999998</v>
      </c>
      <c r="G23" s="109">
        <f>G20-G21-G22</f>
        <v>3327.5029785400002</v>
      </c>
    </row>
    <row r="24" spans="1:7" ht="14.25" customHeight="1">
      <c r="A24" t="s">
        <v>28</v>
      </c>
      <c r="B24" s="82">
        <f>Actuals!F16</f>
        <v>480.05</v>
      </c>
      <c r="C24" s="84">
        <f>C16*Assumptions!E14</f>
        <v>577.66424999999992</v>
      </c>
      <c r="D24" s="84">
        <f>D16*Assumptions!F14</f>
        <v>654.15067499999998</v>
      </c>
      <c r="E24" s="84">
        <f>E16*Assumptions!G14</f>
        <v>742.0297425</v>
      </c>
      <c r="F24" s="84">
        <f>F16*Assumptions!H14</f>
        <v>843.18951675000005</v>
      </c>
      <c r="G24" s="84">
        <f>G16*Assumptions!I14</f>
        <v>959.85662842500005</v>
      </c>
    </row>
    <row r="25" spans="1:7" ht="14.25" customHeight="1">
      <c r="A25" s="40" t="s">
        <v>206</v>
      </c>
      <c r="B25" s="108">
        <f t="shared" ref="B25:G25" si="4">B23-B24</f>
        <v>1346.0400000000002</v>
      </c>
      <c r="C25" s="109">
        <f t="shared" si="4"/>
        <v>1424.9051499999996</v>
      </c>
      <c r="D25" s="109">
        <f t="shared" si="4"/>
        <v>1613.5716649999999</v>
      </c>
      <c r="E25" s="109">
        <f t="shared" si="4"/>
        <v>1830.3400314999999</v>
      </c>
      <c r="F25" s="109">
        <f t="shared" si="4"/>
        <v>2079.8674746499996</v>
      </c>
      <c r="G25" s="109">
        <f t="shared" si="4"/>
        <v>2367.6463501150001</v>
      </c>
    </row>
    <row r="26" spans="1:7" ht="14.25" customHeight="1">
      <c r="A26" t="s">
        <v>248</v>
      </c>
      <c r="B26" s="82">
        <f>Actuals!M30+Actuals!M37</f>
        <v>2397.4900000000002</v>
      </c>
      <c r="C26" s="84">
        <f>$B$26</f>
        <v>2397.4900000000002</v>
      </c>
      <c r="D26" s="84">
        <f>$B$26</f>
        <v>2397.4900000000002</v>
      </c>
      <c r="E26" s="84">
        <f>$B$26</f>
        <v>2397.4900000000002</v>
      </c>
      <c r="F26" s="84">
        <f>$B$26</f>
        <v>2397.4900000000002</v>
      </c>
      <c r="G26" s="84">
        <f>$B$26</f>
        <v>2397.4900000000002</v>
      </c>
    </row>
    <row r="27" spans="1:7" ht="14.25" customHeight="1">
      <c r="A27" t="s">
        <v>249</v>
      </c>
      <c r="B27" s="82">
        <f>Actuals!F18</f>
        <v>170.73</v>
      </c>
      <c r="C27" s="84">
        <f>C26*Assumptions!E16</f>
        <v>167.82430000000002</v>
      </c>
      <c r="D27" s="84">
        <f>D26*Assumptions!F16</f>
        <v>167.82430000000002</v>
      </c>
      <c r="E27" s="84">
        <f>E26*Assumptions!G16</f>
        <v>167.82430000000002</v>
      </c>
      <c r="F27" s="84">
        <f>F26*Assumptions!H16</f>
        <v>167.82430000000002</v>
      </c>
      <c r="G27" s="84">
        <f>G26*Assumptions!I16</f>
        <v>167.82430000000002</v>
      </c>
    </row>
    <row r="28" spans="1:7" ht="14.25" customHeight="1">
      <c r="A28" t="s">
        <v>250</v>
      </c>
      <c r="B28" s="82">
        <f>-Actuals!F17</f>
        <v>6.57</v>
      </c>
      <c r="C28" s="84">
        <f>-Actuals!$F$17</f>
        <v>6.57</v>
      </c>
      <c r="D28" s="84">
        <f>-Actuals!$F$17</f>
        <v>6.57</v>
      </c>
      <c r="E28" s="84">
        <f>-Actuals!$F$17</f>
        <v>6.57</v>
      </c>
      <c r="F28" s="84">
        <f>-Actuals!$F$17</f>
        <v>6.57</v>
      </c>
      <c r="G28" s="84">
        <f>-Actuals!$F$17</f>
        <v>6.57</v>
      </c>
    </row>
    <row r="29" spans="1:7" ht="14.25" customHeight="1">
      <c r="A29" s="40" t="s">
        <v>209</v>
      </c>
      <c r="B29" s="108">
        <f>Actuals!F19</f>
        <v>1181.8800000000001</v>
      </c>
      <c r="C29" s="109">
        <f>C25-C27+C28</f>
        <v>1263.6508499999995</v>
      </c>
      <c r="D29" s="109">
        <f>D25-D27+D28</f>
        <v>1452.3173649999999</v>
      </c>
      <c r="E29" s="109">
        <f>E25-E27+E28</f>
        <v>1669.0857314999998</v>
      </c>
      <c r="F29" s="109">
        <f>F25-F27+F28</f>
        <v>1918.6131746499996</v>
      </c>
      <c r="G29" s="109">
        <f>G25-G27+G28</f>
        <v>2206.3920501150001</v>
      </c>
    </row>
    <row r="30" spans="1:7" ht="14.25" customHeight="1">
      <c r="A30" t="s">
        <v>210</v>
      </c>
      <c r="B30" s="82">
        <f>Actuals!F20</f>
        <v>292.02999999999997</v>
      </c>
      <c r="C30" s="84">
        <f>C29*Assumptions!E15</f>
        <v>318.06091894499986</v>
      </c>
      <c r="D30" s="84">
        <f>D29*Assumptions!F15</f>
        <v>365.54828077049996</v>
      </c>
      <c r="E30" s="84">
        <f>E29*Assumptions!G15</f>
        <v>420.10887861854991</v>
      </c>
      <c r="F30" s="84">
        <f>F29*Assumptions!H15</f>
        <v>482.91493605940485</v>
      </c>
      <c r="G30" s="84">
        <f>G29*Assumptions!I15</f>
        <v>555.34887901394552</v>
      </c>
    </row>
    <row r="31" spans="1:7" ht="14.25" customHeight="1">
      <c r="A31" t="s">
        <v>211</v>
      </c>
      <c r="B31" s="82">
        <f>Actuals!F22</f>
        <v>0.28999999999999998</v>
      </c>
      <c r="C31" s="84">
        <f>Assumptions!E17</f>
        <v>0</v>
      </c>
      <c r="D31" s="84">
        <f>Assumptions!F17</f>
        <v>0</v>
      </c>
      <c r="E31" s="84">
        <f>Assumptions!G17</f>
        <v>0</v>
      </c>
      <c r="F31" s="84">
        <f>Assumptions!H17</f>
        <v>0</v>
      </c>
      <c r="G31" s="84">
        <f>Assumptions!I17</f>
        <v>0</v>
      </c>
    </row>
    <row r="32" spans="1:7" ht="14.25" customHeight="1">
      <c r="A32" s="40" t="s">
        <v>212</v>
      </c>
      <c r="B32" s="108">
        <f>Actuals!F23</f>
        <v>890.1400000000001</v>
      </c>
      <c r="C32" s="109">
        <f>C29-C30+C31</f>
        <v>945.58993105499962</v>
      </c>
      <c r="D32" s="109">
        <f>D29-D30+D31</f>
        <v>1086.7690842294999</v>
      </c>
      <c r="E32" s="109">
        <f>E29-E30+E31</f>
        <v>1248.97685288145</v>
      </c>
      <c r="F32" s="109">
        <f>F29-F30+F31</f>
        <v>1435.6982385905947</v>
      </c>
      <c r="G32" s="109">
        <f>G29-G30+G31</f>
        <v>1651.0431711010547</v>
      </c>
    </row>
    <row r="33" spans="1:7" ht="14.25" customHeight="1">
      <c r="A33" t="s">
        <v>52</v>
      </c>
      <c r="B33" s="82">
        <f>Actuals!F24</f>
        <v>1.35</v>
      </c>
      <c r="C33" s="84">
        <f>C32*Assumptions!E18</f>
        <v>0</v>
      </c>
      <c r="D33" s="84">
        <f>D32*Assumptions!F18</f>
        <v>0</v>
      </c>
      <c r="E33" s="84">
        <f>E32*Assumptions!G18</f>
        <v>0</v>
      </c>
      <c r="F33" s="84">
        <f>F32*Assumptions!H18</f>
        <v>0</v>
      </c>
      <c r="G33" s="84">
        <f>G32*Assumptions!I18</f>
        <v>0</v>
      </c>
    </row>
    <row r="34" spans="1:7" ht="14.25" customHeight="1">
      <c r="A34" s="40" t="s">
        <v>46</v>
      </c>
      <c r="B34" s="108">
        <f>Actuals!F25</f>
        <v>888.79000000000008</v>
      </c>
      <c r="C34" s="109">
        <f>C32-C33</f>
        <v>945.58993105499962</v>
      </c>
      <c r="D34" s="109">
        <f>D32-D33</f>
        <v>1086.7690842294999</v>
      </c>
      <c r="E34" s="109">
        <f>E32-E33</f>
        <v>1248.97685288145</v>
      </c>
      <c r="F34" s="109">
        <f>F32-F33</f>
        <v>1435.6982385905947</v>
      </c>
      <c r="G34" s="109">
        <f>G32-G33</f>
        <v>1651.0431711010547</v>
      </c>
    </row>
    <row r="35" spans="1:7">
      <c r="B35" s="122"/>
      <c r="C35" s="124"/>
      <c r="D35" s="124"/>
      <c r="E35" s="124"/>
      <c r="F35" s="124"/>
      <c r="G35" s="124"/>
    </row>
    <row r="36" spans="1:7" ht="14.25" customHeight="1">
      <c r="A36" s="121" t="s">
        <v>251</v>
      </c>
      <c r="B36" s="122"/>
      <c r="C36" s="124"/>
      <c r="D36" s="124"/>
      <c r="E36" s="124"/>
      <c r="F36" s="124"/>
      <c r="G36" s="124"/>
    </row>
    <row r="37" spans="1:7" ht="14.25" customHeight="1">
      <c r="A37" t="s">
        <v>215</v>
      </c>
      <c r="B37" s="82">
        <f>Actuals!M16</f>
        <v>2342.16</v>
      </c>
      <c r="C37" s="84">
        <f>C16*Assumptions!E21</f>
        <v>2618.7446</v>
      </c>
      <c r="D37" s="84">
        <f>D16*Assumptions!F21</f>
        <v>2965.48306</v>
      </c>
      <c r="E37" s="84">
        <f>E16*Assumptions!G21</f>
        <v>3363.8681660000002</v>
      </c>
      <c r="F37" s="84">
        <f>F16*Assumptions!H21</f>
        <v>3822.4591426000006</v>
      </c>
      <c r="G37" s="84">
        <f>G16*Assumptions!I21</f>
        <v>4351.3500488600002</v>
      </c>
    </row>
    <row r="38" spans="1:7" ht="14.25" customHeight="1">
      <c r="A38" t="s">
        <v>31</v>
      </c>
      <c r="B38" s="82">
        <f>Actuals!M17</f>
        <v>2155.04</v>
      </c>
      <c r="C38" s="84">
        <f>C16*Assumptions!E22</f>
        <v>2464.7008000000001</v>
      </c>
      <c r="D38" s="84">
        <f>D16*Assumptions!F22</f>
        <v>2791.04288</v>
      </c>
      <c r="E38" s="84">
        <f>E16*Assumptions!G22</f>
        <v>3165.9935680000003</v>
      </c>
      <c r="F38" s="84">
        <f>F16*Assumptions!H22</f>
        <v>3597.6086048000002</v>
      </c>
      <c r="G38" s="84">
        <f>G16*Assumptions!I22</f>
        <v>4095.3882812800002</v>
      </c>
    </row>
    <row r="39" spans="1:7" ht="14.25" customHeight="1">
      <c r="A39" t="s">
        <v>216</v>
      </c>
      <c r="B39" s="82">
        <f>Actuals!M22</f>
        <v>214.17</v>
      </c>
      <c r="C39" s="84">
        <f>C16*Assumptions!E24</f>
        <v>231.06569999999999</v>
      </c>
      <c r="D39" s="84">
        <f>D16*Assumptions!F24</f>
        <v>261.66026999999997</v>
      </c>
      <c r="E39" s="84">
        <f>E16*Assumptions!G24</f>
        <v>296.81189699999999</v>
      </c>
      <c r="F39" s="84">
        <f>F16*Assumptions!H24</f>
        <v>337.27580670000003</v>
      </c>
      <c r="G39" s="84">
        <f>G16*Assumptions!I24</f>
        <v>383.94265137000002</v>
      </c>
    </row>
    <row r="40" spans="1:7" ht="14.25" customHeight="1">
      <c r="A40" t="s">
        <v>63</v>
      </c>
      <c r="B40" s="82">
        <f>Actuals!M38</f>
        <v>1252.0899999999999</v>
      </c>
      <c r="C40" s="84">
        <f>C16*Assumptions!E23</f>
        <v>1386.3942</v>
      </c>
      <c r="D40" s="84">
        <f>D16*Assumptions!F23</f>
        <v>1569.96162</v>
      </c>
      <c r="E40" s="84">
        <f>E16*Assumptions!G23</f>
        <v>1780.871382</v>
      </c>
      <c r="F40" s="84">
        <f>F16*Assumptions!H23</f>
        <v>2023.6548402000001</v>
      </c>
      <c r="G40" s="84">
        <f>G16*Assumptions!I23</f>
        <v>2303.6559082200001</v>
      </c>
    </row>
    <row r="41" spans="1:7" ht="14.25" customHeight="1">
      <c r="A41" t="s">
        <v>217</v>
      </c>
      <c r="B41" s="82">
        <f>Actuals!M41</f>
        <v>161.94999999999999</v>
      </c>
      <c r="C41" s="84">
        <f>C16*Assumptions!E25</f>
        <v>154.0438</v>
      </c>
      <c r="D41" s="84">
        <f>D16*Assumptions!F25</f>
        <v>174.44018</v>
      </c>
      <c r="E41" s="84">
        <f>E16*Assumptions!G25</f>
        <v>197.87459800000002</v>
      </c>
      <c r="F41" s="84">
        <f>F16*Assumptions!H25</f>
        <v>224.85053780000001</v>
      </c>
      <c r="G41" s="84">
        <f>G16*Assumptions!I25</f>
        <v>255.96176758000001</v>
      </c>
    </row>
    <row r="42" spans="1:7" ht="14.25" customHeight="1">
      <c r="A42" s="40" t="s">
        <v>218</v>
      </c>
      <c r="B42" s="108">
        <f t="shared" ref="B42:G42" si="5">B37+B38+B39-B40-B41</f>
        <v>3297.33</v>
      </c>
      <c r="C42" s="109">
        <f t="shared" si="5"/>
        <v>3774.073100000001</v>
      </c>
      <c r="D42" s="109">
        <f t="shared" si="5"/>
        <v>4273.7844100000002</v>
      </c>
      <c r="E42" s="109">
        <f t="shared" si="5"/>
        <v>4847.9276509999991</v>
      </c>
      <c r="F42" s="109">
        <f t="shared" si="5"/>
        <v>5508.838176100001</v>
      </c>
      <c r="G42" s="109">
        <f t="shared" si="5"/>
        <v>6271.0633057100003</v>
      </c>
    </row>
    <row r="43" spans="1:7" ht="14.25" customHeight="1">
      <c r="A43" t="s">
        <v>252</v>
      </c>
      <c r="B43" s="122"/>
      <c r="C43" s="84">
        <f>C42-B42</f>
        <v>476.74310000000105</v>
      </c>
      <c r="D43" s="84">
        <f>D42-C42</f>
        <v>499.71130999999923</v>
      </c>
      <c r="E43" s="84">
        <f>E42-D42</f>
        <v>574.14324099999885</v>
      </c>
      <c r="F43" s="84">
        <f>F42-E42</f>
        <v>660.91052510000191</v>
      </c>
      <c r="G43" s="84">
        <f>G42-F42</f>
        <v>762.22512960999939</v>
      </c>
    </row>
    <row r="44" spans="1:7" ht="14.25" customHeight="1">
      <c r="A44" t="s">
        <v>220</v>
      </c>
      <c r="B44" s="82">
        <f>-Actuals!F29</f>
        <v>1069.95</v>
      </c>
      <c r="C44" s="84">
        <f>Assumptions!E28</f>
        <v>1200</v>
      </c>
      <c r="D44" s="84">
        <f>Assumptions!F28</f>
        <v>1200</v>
      </c>
      <c r="E44" s="84">
        <f>Assumptions!G28</f>
        <v>1200</v>
      </c>
      <c r="F44" s="84">
        <f>Assumptions!H28</f>
        <v>1200</v>
      </c>
      <c r="G44" s="84">
        <f>Assumptions!I28</f>
        <v>1200</v>
      </c>
    </row>
    <row r="46" spans="1:7" ht="21.75" customHeight="1">
      <c r="A46" s="169" t="s">
        <v>367</v>
      </c>
      <c r="B46" s="17" t="s">
        <v>79</v>
      </c>
      <c r="C46" s="18" t="s">
        <v>80</v>
      </c>
      <c r="D46" s="18" t="s">
        <v>81</v>
      </c>
      <c r="E46" s="18" t="s">
        <v>82</v>
      </c>
      <c r="F46" s="18" t="s">
        <v>83</v>
      </c>
      <c r="G46" s="18" t="s">
        <v>84</v>
      </c>
    </row>
    <row r="47" spans="1:7" ht="19.5" customHeight="1">
      <c r="A47" s="169"/>
      <c r="B47" s="39" t="s">
        <v>203</v>
      </c>
      <c r="C47" s="161" t="s">
        <v>87</v>
      </c>
      <c r="D47" s="161"/>
      <c r="E47" s="161"/>
      <c r="F47" s="161"/>
      <c r="G47" s="161"/>
    </row>
    <row r="48" spans="1:7" ht="19.5" customHeight="1">
      <c r="A48" s="21" t="s">
        <v>2</v>
      </c>
      <c r="B48" s="1" t="s">
        <v>7</v>
      </c>
      <c r="C48" s="20" t="s">
        <v>88</v>
      </c>
      <c r="D48" s="20" t="s">
        <v>89</v>
      </c>
      <c r="E48" s="20" t="s">
        <v>90</v>
      </c>
      <c r="F48" s="20" t="s">
        <v>91</v>
      </c>
      <c r="G48" s="20" t="s">
        <v>92</v>
      </c>
    </row>
    <row r="49" spans="1:7" ht="19.5" customHeight="1">
      <c r="A49" s="32" t="s">
        <v>9</v>
      </c>
      <c r="B49" s="82">
        <f>Actuals!M6</f>
        <v>3873.23</v>
      </c>
      <c r="C49" s="84">
        <f>B49+C44-C24</f>
        <v>4495.5657499999998</v>
      </c>
      <c r="D49" s="84">
        <f>C49+D44-D24</f>
        <v>5041.4150749999999</v>
      </c>
      <c r="E49" s="84">
        <f>D49+E44-E24</f>
        <v>5499.3853325</v>
      </c>
      <c r="F49" s="84">
        <f>E49+F44-F24</f>
        <v>5856.1958157500003</v>
      </c>
      <c r="G49" s="84">
        <f>F49+G44-G24</f>
        <v>6096.3391873250002</v>
      </c>
    </row>
    <row r="50" spans="1:7" ht="19.5" customHeight="1">
      <c r="A50" s="32" t="s">
        <v>11</v>
      </c>
      <c r="B50" s="82">
        <f>Actuals!M7</f>
        <v>232.71</v>
      </c>
      <c r="C50" s="84">
        <f>C16*Assumptions!E36</f>
        <v>263.41489799999999</v>
      </c>
      <c r="D50" s="84">
        <f>D16*Assumptions!F36</f>
        <v>298.29270780000002</v>
      </c>
      <c r="E50" s="84">
        <f>E16*Assumptions!G36</f>
        <v>338.36556258000002</v>
      </c>
      <c r="F50" s="84">
        <f>F16*Assumptions!H36</f>
        <v>384.49441963800007</v>
      </c>
      <c r="G50" s="84">
        <f>G16*Assumptions!I36</f>
        <v>437.69462256180003</v>
      </c>
    </row>
    <row r="51" spans="1:7" ht="19.5" customHeight="1">
      <c r="A51" s="32" t="s">
        <v>13</v>
      </c>
      <c r="B51" s="82">
        <f>Actuals!M8</f>
        <v>773.28</v>
      </c>
      <c r="C51" s="84">
        <f>C16*Assumptions!E37</f>
        <v>874.19856500000003</v>
      </c>
      <c r="D51" s="84">
        <f>D16*Assumptions!F37</f>
        <v>989.94802149999998</v>
      </c>
      <c r="E51" s="84">
        <f>E16*Assumptions!G37</f>
        <v>1122.93834365</v>
      </c>
      <c r="F51" s="84">
        <f>F16*Assumptions!H37</f>
        <v>1276.0268020150002</v>
      </c>
      <c r="G51" s="84">
        <f>G16*Assumptions!I37</f>
        <v>1452.5830310165002</v>
      </c>
    </row>
    <row r="52" spans="1:7" ht="19.5" customHeight="1">
      <c r="A52" s="32" t="s">
        <v>15</v>
      </c>
      <c r="B52" s="82">
        <f>Actuals!M9</f>
        <v>246.3</v>
      </c>
      <c r="C52" s="84">
        <f>C16*Assumptions!E38</f>
        <v>278.819278</v>
      </c>
      <c r="D52" s="84">
        <f>D16*Assumptions!F38</f>
        <v>315.73672580000004</v>
      </c>
      <c r="E52" s="84">
        <f>E16*Assumptions!G38</f>
        <v>358.15302238000004</v>
      </c>
      <c r="F52" s="84">
        <f>F16*Assumptions!H38</f>
        <v>406.97947341800005</v>
      </c>
      <c r="G52" s="84">
        <f>G16*Assumptions!I38</f>
        <v>463.29079931980004</v>
      </c>
    </row>
    <row r="53" spans="1:7" ht="19.5" customHeight="1">
      <c r="A53" s="32" t="s">
        <v>17</v>
      </c>
      <c r="B53" s="82">
        <f>Actuals!M10</f>
        <v>18.399999999999999</v>
      </c>
      <c r="C53" s="84">
        <f>C16*Assumptions!E39</f>
        <v>20.795912999999999</v>
      </c>
      <c r="D53" s="84">
        <f>D16*Assumptions!F39</f>
        <v>23.549424300000002</v>
      </c>
      <c r="E53" s="84">
        <f>E16*Assumptions!G39</f>
        <v>26.713070730000002</v>
      </c>
      <c r="F53" s="84">
        <f>F16*Assumptions!H39</f>
        <v>30.354822603000006</v>
      </c>
      <c r="G53" s="84">
        <f>G16*Assumptions!I39</f>
        <v>34.5548386233</v>
      </c>
    </row>
    <row r="54" spans="1:7" ht="19.5" customHeight="1">
      <c r="A54" s="32" t="s">
        <v>19</v>
      </c>
      <c r="B54" s="82">
        <f>Actuals!M11</f>
        <v>309.27</v>
      </c>
      <c r="C54" s="84">
        <f>C16*Assumptions!E40</f>
        <v>349.67942599999998</v>
      </c>
      <c r="D54" s="84">
        <f>D16*Assumptions!F40</f>
        <v>395.97920860000005</v>
      </c>
      <c r="E54" s="84">
        <f>E16*Assumptions!G40</f>
        <v>449.17533746000004</v>
      </c>
      <c r="F54" s="84">
        <f>F16*Assumptions!H40</f>
        <v>510.41072080600009</v>
      </c>
      <c r="G54" s="84">
        <f>G16*Assumptions!I40</f>
        <v>581.03321240660011</v>
      </c>
    </row>
    <row r="55" spans="1:7" ht="19.5" customHeight="1">
      <c r="A55" s="32" t="s">
        <v>21</v>
      </c>
      <c r="B55" s="82">
        <f>Actuals!M12</f>
        <v>44.26</v>
      </c>
      <c r="C55" s="84">
        <f>C16*Assumptions!E41</f>
        <v>50.064234999999996</v>
      </c>
      <c r="D55" s="84">
        <f>D16*Assumptions!F41</f>
        <v>56.693058499999999</v>
      </c>
      <c r="E55" s="84">
        <f>E16*Assumptions!G41</f>
        <v>64.30924435</v>
      </c>
      <c r="F55" s="84">
        <f>F16*Assumptions!H41</f>
        <v>73.076424785</v>
      </c>
      <c r="G55" s="84">
        <f>G16*Assumptions!I41</f>
        <v>83.187574463499999</v>
      </c>
    </row>
    <row r="56" spans="1:7" ht="19.5" customHeight="1">
      <c r="A56" s="32" t="s">
        <v>221</v>
      </c>
      <c r="B56" s="82">
        <f>Actuals!M13</f>
        <v>2.44</v>
      </c>
      <c r="C56" s="84">
        <f>C16*Assumptions!E42</f>
        <v>3.0808759999999999</v>
      </c>
      <c r="D56" s="84">
        <f>D16*Assumptions!F42</f>
        <v>3.4888036000000002</v>
      </c>
      <c r="E56" s="84">
        <f>E16*Assumptions!G42</f>
        <v>3.9574919600000005</v>
      </c>
      <c r="F56" s="84">
        <f>F16*Assumptions!H42</f>
        <v>4.4970107560000008</v>
      </c>
      <c r="G56" s="84">
        <f>G16*Assumptions!I42</f>
        <v>5.1192353516000004</v>
      </c>
    </row>
    <row r="57" spans="1:7" s="88" customFormat="1" ht="19.5" customHeight="1">
      <c r="A57" s="110" t="s">
        <v>25</v>
      </c>
      <c r="B57" s="111">
        <f>Actuals!M14</f>
        <v>182.09</v>
      </c>
      <c r="C57" s="112">
        <f>C16*Assumptions!E43</f>
        <v>205.648473</v>
      </c>
      <c r="D57" s="112">
        <f>D16*Assumptions!F43</f>
        <v>232.87764030000002</v>
      </c>
      <c r="E57" s="112">
        <f>E16*Assumptions!G43</f>
        <v>264.16258833000001</v>
      </c>
      <c r="F57" s="112">
        <f>F16*Assumptions!H43</f>
        <v>300.17546796300002</v>
      </c>
      <c r="G57" s="112">
        <f>G16*Assumptions!I43</f>
        <v>341.70895971930003</v>
      </c>
    </row>
    <row r="58" spans="1:7" s="88" customFormat="1" ht="19.5" customHeight="1">
      <c r="A58" s="113" t="s">
        <v>27</v>
      </c>
      <c r="B58" s="89">
        <f t="shared" ref="B58:G58" si="6">SUM(B49:B57)</f>
        <v>5681.9799999999987</v>
      </c>
      <c r="C58" s="90">
        <f t="shared" si="6"/>
        <v>6541.267413999999</v>
      </c>
      <c r="D58" s="90">
        <f t="shared" si="6"/>
        <v>7357.9806654000013</v>
      </c>
      <c r="E58" s="90">
        <f t="shared" si="6"/>
        <v>8127.1599939400012</v>
      </c>
      <c r="F58" s="90">
        <f t="shared" si="6"/>
        <v>8842.2109577340016</v>
      </c>
      <c r="G58" s="90">
        <f t="shared" si="6"/>
        <v>9495.511460787402</v>
      </c>
    </row>
    <row r="59" spans="1:7" ht="19.5" customHeight="1">
      <c r="A59" s="48" t="s">
        <v>222</v>
      </c>
      <c r="B59" s="91"/>
      <c r="C59" s="92"/>
      <c r="D59" s="92"/>
      <c r="E59" s="92"/>
      <c r="F59" s="92"/>
      <c r="G59" s="92"/>
    </row>
    <row r="60" spans="1:7" ht="19.5" customHeight="1">
      <c r="A60" s="32" t="s">
        <v>215</v>
      </c>
      <c r="B60" s="82">
        <f>Actuals!M16</f>
        <v>2342.16</v>
      </c>
      <c r="C60" s="84">
        <f>C16*Assumptions!E21</f>
        <v>2618.7446</v>
      </c>
      <c r="D60" s="84">
        <f>D16*Assumptions!F21</f>
        <v>2965.48306</v>
      </c>
      <c r="E60" s="84">
        <f>E16*Assumptions!G21</f>
        <v>3363.8681660000002</v>
      </c>
      <c r="F60" s="84">
        <f>F16*Assumptions!H21</f>
        <v>3822.4591426000006</v>
      </c>
      <c r="G60" s="84">
        <f>G16*Assumptions!I21</f>
        <v>4351.3500488600002</v>
      </c>
    </row>
    <row r="61" spans="1:7" ht="19.5" customHeight="1">
      <c r="A61" s="32" t="s">
        <v>31</v>
      </c>
      <c r="B61" s="82">
        <f>Actuals!M17</f>
        <v>2155.04</v>
      </c>
      <c r="C61" s="84">
        <f>C16*Assumptions!E22</f>
        <v>2464.7008000000001</v>
      </c>
      <c r="D61" s="84">
        <f>D16*Assumptions!F22</f>
        <v>2791.04288</v>
      </c>
      <c r="E61" s="84">
        <f>E16*Assumptions!G22</f>
        <v>3165.9935680000003</v>
      </c>
      <c r="F61" s="84">
        <f>F16*Assumptions!H22</f>
        <v>3597.6086048000002</v>
      </c>
      <c r="G61" s="84">
        <f>G16*Assumptions!I22</f>
        <v>4095.3882812800002</v>
      </c>
    </row>
    <row r="62" spans="1:7" ht="19.5" customHeight="1">
      <c r="A62" t="s">
        <v>33</v>
      </c>
      <c r="B62" s="82">
        <f>Actuals!M18</f>
        <v>112.66</v>
      </c>
      <c r="C62" s="84">
        <f>Actuals!N18</f>
        <v>0</v>
      </c>
      <c r="D62" s="84">
        <f>Actuals!O18</f>
        <v>0</v>
      </c>
      <c r="E62" s="84">
        <f>Actuals!P18</f>
        <v>0</v>
      </c>
      <c r="F62" s="84">
        <f>Actuals!Q18</f>
        <v>0</v>
      </c>
      <c r="G62" s="84">
        <f>Actuals!R18</f>
        <v>0</v>
      </c>
    </row>
    <row r="63" spans="1:7" ht="19.5" customHeight="1">
      <c r="A63" s="32" t="s">
        <v>35</v>
      </c>
      <c r="B63" s="82">
        <f>Actuals!M19</f>
        <v>1.04</v>
      </c>
      <c r="C63" s="84">
        <f>C16*Assumptions!E44</f>
        <v>1.540438</v>
      </c>
      <c r="D63" s="84">
        <f>D16*Assumptions!F44</f>
        <v>1.7444018000000001</v>
      </c>
      <c r="E63" s="84">
        <f>E16*Assumptions!G44</f>
        <v>1.9787459800000002</v>
      </c>
      <c r="F63" s="84">
        <f>F16*Assumptions!H44</f>
        <v>2.2485053780000004</v>
      </c>
      <c r="G63" s="84">
        <f>G16*Assumptions!I44</f>
        <v>2.5596176758000002</v>
      </c>
    </row>
    <row r="64" spans="1:7" ht="19.5" customHeight="1">
      <c r="A64" s="32" t="s">
        <v>37</v>
      </c>
      <c r="B64" s="82">
        <f>Actuals!M20</f>
        <v>0.93</v>
      </c>
      <c r="C64" s="84">
        <f>C16*Assumptions!E45</f>
        <v>0.77021899999999999</v>
      </c>
      <c r="D64" s="84">
        <f>D16*Assumptions!F45</f>
        <v>0.87220090000000006</v>
      </c>
      <c r="E64" s="84">
        <f>E16*Assumptions!G45</f>
        <v>0.98937299000000012</v>
      </c>
      <c r="F64" s="84">
        <f>F16*Assumptions!H45</f>
        <v>1.1242526890000002</v>
      </c>
      <c r="G64" s="84">
        <f>G16*Assumptions!I45</f>
        <v>1.2798088379000001</v>
      </c>
    </row>
    <row r="65" spans="1:7" ht="19.5" customHeight="1">
      <c r="A65" s="32" t="s">
        <v>39</v>
      </c>
      <c r="B65" s="82">
        <f>Actuals!M21</f>
        <v>3.21</v>
      </c>
      <c r="C65" s="84">
        <f>C16*Assumptions!E46</f>
        <v>3.8510949999999999</v>
      </c>
      <c r="D65" s="84">
        <f>D16*Assumptions!F46</f>
        <v>4.3610045</v>
      </c>
      <c r="E65" s="84">
        <f>E16*Assumptions!G46</f>
        <v>4.9468649500000001</v>
      </c>
      <c r="F65" s="84">
        <f>F16*Assumptions!H46</f>
        <v>5.6212634450000003</v>
      </c>
      <c r="G65" s="84">
        <f>G16*Assumptions!I46</f>
        <v>6.3990441895000005</v>
      </c>
    </row>
    <row r="66" spans="1:7" ht="19.5" customHeight="1">
      <c r="A66" s="32" t="s">
        <v>41</v>
      </c>
      <c r="B66" s="82">
        <f>Actuals!M22</f>
        <v>214.17</v>
      </c>
      <c r="C66" s="84">
        <f>C16*Assumptions!E24</f>
        <v>231.06569999999999</v>
      </c>
      <c r="D66" s="84">
        <f>D16*Assumptions!F24</f>
        <v>261.66026999999997</v>
      </c>
      <c r="E66" s="84">
        <f>E16*Assumptions!G24</f>
        <v>296.81189699999999</v>
      </c>
      <c r="F66" s="84">
        <f>F16*Assumptions!H24</f>
        <v>337.27580670000003</v>
      </c>
      <c r="G66" s="84">
        <f>G16*Assumptions!I24</f>
        <v>383.94265137000002</v>
      </c>
    </row>
    <row r="67" spans="1:7" s="94" customFormat="1" ht="19.5" customHeight="1">
      <c r="A67" s="113" t="s">
        <v>43</v>
      </c>
      <c r="B67" s="89">
        <f t="shared" ref="B67:G67" si="7">SUM(B60:B66)</f>
        <v>4829.21</v>
      </c>
      <c r="C67" s="90">
        <f t="shared" si="7"/>
        <v>5320.6728520000006</v>
      </c>
      <c r="D67" s="90">
        <f t="shared" si="7"/>
        <v>6025.1638171999994</v>
      </c>
      <c r="E67" s="90">
        <f t="shared" si="7"/>
        <v>6834.5886149200005</v>
      </c>
      <c r="F67" s="90">
        <f t="shared" si="7"/>
        <v>7766.3375756120013</v>
      </c>
      <c r="G67" s="90">
        <f t="shared" si="7"/>
        <v>8840.919452213202</v>
      </c>
    </row>
    <row r="68" spans="1:7" s="94" customFormat="1" ht="19.5" customHeight="1">
      <c r="A68" s="113" t="s">
        <v>45</v>
      </c>
      <c r="B68" s="89">
        <f t="shared" ref="B68:G68" si="8">B58+B67</f>
        <v>10511.189999999999</v>
      </c>
      <c r="C68" s="90">
        <f t="shared" si="8"/>
        <v>11861.940266</v>
      </c>
      <c r="D68" s="90">
        <f t="shared" si="8"/>
        <v>13383.144482600001</v>
      </c>
      <c r="E68" s="90">
        <f t="shared" si="8"/>
        <v>14961.748608860002</v>
      </c>
      <c r="F68" s="90">
        <f t="shared" si="8"/>
        <v>16608.548533346002</v>
      </c>
      <c r="G68" s="90">
        <f t="shared" si="8"/>
        <v>18336.430913000604</v>
      </c>
    </row>
    <row r="69" spans="1:7" ht="19.5" customHeight="1">
      <c r="A69" s="48" t="s">
        <v>223</v>
      </c>
      <c r="B69" s="83"/>
      <c r="C69" s="86"/>
      <c r="D69" s="86"/>
      <c r="E69" s="86"/>
      <c r="F69" s="86"/>
      <c r="G69" s="86"/>
    </row>
    <row r="70" spans="1:7" ht="19.5" customHeight="1">
      <c r="A70" s="32" t="s">
        <v>47</v>
      </c>
      <c r="B70" s="82">
        <f>Actuals!M25</f>
        <v>107.97</v>
      </c>
      <c r="C70" s="84">
        <f>Assumptions!$D$47</f>
        <v>107.97</v>
      </c>
      <c r="D70" s="84">
        <f>Assumptions!$D$47</f>
        <v>107.97</v>
      </c>
      <c r="E70" s="84">
        <f>Assumptions!$D$47</f>
        <v>107.97</v>
      </c>
      <c r="F70" s="84">
        <f>Assumptions!$D$47</f>
        <v>107.97</v>
      </c>
      <c r="G70" s="84">
        <f>Assumptions!$D$47</f>
        <v>107.97</v>
      </c>
    </row>
    <row r="71" spans="1:7" ht="19.5" customHeight="1">
      <c r="A71" t="s">
        <v>224</v>
      </c>
      <c r="B71" s="82">
        <f>Actuals!M26</f>
        <v>5192.09</v>
      </c>
      <c r="C71" s="84">
        <f>B71+C34-C34*Assumptions!E62</f>
        <v>5948.5619448439993</v>
      </c>
      <c r="D71" s="84">
        <f>C71+D34-D34*Assumptions!F62</f>
        <v>6817.977212227599</v>
      </c>
      <c r="E71" s="84">
        <f>D71+E34-E34*Assumptions!G62</f>
        <v>7817.158694532759</v>
      </c>
      <c r="F71" s="84">
        <f>E71+F34-F34*Assumptions!H62</f>
        <v>8965.7172854052351</v>
      </c>
      <c r="G71" s="84">
        <f>F71+G34-G34*Assumptions!I62</f>
        <v>10286.551822286079</v>
      </c>
    </row>
    <row r="72" spans="1:7" ht="19.5" customHeight="1">
      <c r="A72" s="32" t="s">
        <v>52</v>
      </c>
      <c r="B72" s="82">
        <f>Actuals!M28</f>
        <v>131.30000000000001</v>
      </c>
      <c r="C72" s="84">
        <f>Assumptions!$E$48</f>
        <v>131.30000000000001</v>
      </c>
      <c r="D72" s="84">
        <f>Assumptions!F48</f>
        <v>131.30000000000001</v>
      </c>
      <c r="E72" s="84">
        <f>Assumptions!G48</f>
        <v>131.30000000000001</v>
      </c>
      <c r="F72" s="84">
        <f>Assumptions!H48</f>
        <v>131.30000000000001</v>
      </c>
      <c r="G72" s="84">
        <f>Assumptions!I48</f>
        <v>131.30000000000001</v>
      </c>
    </row>
    <row r="73" spans="1:7" s="94" customFormat="1" ht="19.5" customHeight="1">
      <c r="A73" s="113" t="s">
        <v>54</v>
      </c>
      <c r="B73" s="89">
        <f t="shared" ref="B73:G73" si="9">SUM(B70:B72)</f>
        <v>5431.3600000000006</v>
      </c>
      <c r="C73" s="90">
        <f>SUM(C70:C72)</f>
        <v>6187.8319448439997</v>
      </c>
      <c r="D73" s="90">
        <f t="shared" si="9"/>
        <v>7057.2472122275994</v>
      </c>
      <c r="E73" s="90">
        <f t="shared" si="9"/>
        <v>8056.4286945327594</v>
      </c>
      <c r="F73" s="90">
        <f t="shared" si="9"/>
        <v>9204.9872854052337</v>
      </c>
      <c r="G73" s="90">
        <f t="shared" si="9"/>
        <v>10525.821822286078</v>
      </c>
    </row>
    <row r="74" spans="1:7" ht="19.5" customHeight="1">
      <c r="A74" s="48" t="s">
        <v>225</v>
      </c>
      <c r="B74" s="91"/>
      <c r="C74" s="92"/>
      <c r="D74" s="92"/>
      <c r="E74" s="92"/>
      <c r="F74" s="92"/>
      <c r="G74" s="92"/>
    </row>
    <row r="75" spans="1:7" ht="19.5" customHeight="1">
      <c r="A75" s="32" t="s">
        <v>55</v>
      </c>
      <c r="B75" s="82">
        <f>Actuals!M30</f>
        <v>611.34</v>
      </c>
      <c r="C75" s="84">
        <f>Actuals!$M$30</f>
        <v>611.34</v>
      </c>
      <c r="D75" s="84">
        <f>Actuals!$M$30</f>
        <v>611.34</v>
      </c>
      <c r="E75" s="84">
        <f>Actuals!$M$30</f>
        <v>611.34</v>
      </c>
      <c r="F75" s="84">
        <f>Actuals!$M$30</f>
        <v>611.34</v>
      </c>
      <c r="G75" s="84">
        <f>Actuals!$M$30</f>
        <v>611.34</v>
      </c>
    </row>
    <row r="76" spans="1:7" ht="19.5" customHeight="1">
      <c r="A76" s="32" t="s">
        <v>56</v>
      </c>
      <c r="B76" s="82">
        <f>Actuals!M31</f>
        <v>111.49</v>
      </c>
      <c r="C76" s="84">
        <f>C16*Assumptions!E50</f>
        <v>126.315916</v>
      </c>
      <c r="D76" s="84">
        <f>D16*Assumptions!F50</f>
        <v>143.04094760000001</v>
      </c>
      <c r="E76" s="84">
        <f>E16*Assumptions!G50</f>
        <v>162.25717036000003</v>
      </c>
      <c r="F76" s="84">
        <f>F16*Assumptions!H50</f>
        <v>184.37744099600002</v>
      </c>
      <c r="G76" s="84">
        <f>G16*Assumptions!I50</f>
        <v>209.88864941560004</v>
      </c>
    </row>
    <row r="77" spans="1:7" ht="19.5" customHeight="1">
      <c r="A77" s="32" t="s">
        <v>57</v>
      </c>
      <c r="B77" s="82">
        <f>Actuals!M32</f>
        <v>20.63</v>
      </c>
      <c r="C77" s="84">
        <f>C16*Assumptions!E51</f>
        <v>23.106569999999998</v>
      </c>
      <c r="D77" s="84">
        <f>D16*Assumptions!F51</f>
        <v>26.166027</v>
      </c>
      <c r="E77" s="84">
        <f>E16*Assumptions!G51</f>
        <v>29.681189700000001</v>
      </c>
      <c r="F77" s="84">
        <f>F16*Assumptions!H51</f>
        <v>33.727580670000002</v>
      </c>
      <c r="G77" s="84">
        <f>G16*Assumptions!I51</f>
        <v>38.394265137000005</v>
      </c>
    </row>
    <row r="78" spans="1:7" ht="19.5" customHeight="1">
      <c r="A78" s="32" t="s">
        <v>58</v>
      </c>
      <c r="B78" s="82">
        <f>Actuals!M33</f>
        <v>132.09</v>
      </c>
      <c r="C78" s="84">
        <f>C16*Assumptions!E52</f>
        <v>149.42248599999999</v>
      </c>
      <c r="D78" s="84">
        <f>D16*Assumptions!F52</f>
        <v>169.2069746</v>
      </c>
      <c r="E78" s="84">
        <f>E16*Assumptions!G52</f>
        <v>191.93836006000001</v>
      </c>
      <c r="F78" s="84">
        <f>F16*Assumptions!H52</f>
        <v>218.10502166600003</v>
      </c>
      <c r="G78" s="84">
        <f>G16*Assumptions!I52</f>
        <v>248.28291455260003</v>
      </c>
    </row>
    <row r="79" spans="1:7" ht="19.5" customHeight="1">
      <c r="A79" s="32" t="s">
        <v>226</v>
      </c>
      <c r="B79" s="82">
        <f>Actuals!M34</f>
        <v>29.38</v>
      </c>
      <c r="C79" s="84">
        <f>C16*Assumptions!E53</f>
        <v>33.119416999999999</v>
      </c>
      <c r="D79" s="84">
        <f>D16*Assumptions!F53</f>
        <v>37.504638700000001</v>
      </c>
      <c r="E79" s="84">
        <f>E16*Assumptions!G53</f>
        <v>42.54303857</v>
      </c>
      <c r="F79" s="84">
        <f>F16*Assumptions!H53</f>
        <v>48.342865627000002</v>
      </c>
      <c r="G79" s="84">
        <f>G16*Assumptions!I53</f>
        <v>55.031780029700002</v>
      </c>
    </row>
    <row r="80" spans="1:7" ht="19.5" customHeight="1">
      <c r="A80" s="32" t="s">
        <v>60</v>
      </c>
      <c r="B80" s="82">
        <f>Actuals!M35</f>
        <v>539.47</v>
      </c>
      <c r="C80" s="84">
        <f>C16*Assumptions!E54</f>
        <v>610.01344800000004</v>
      </c>
      <c r="D80" s="84">
        <f>D16*Assumptions!F54</f>
        <v>690.78311280000003</v>
      </c>
      <c r="E80" s="84">
        <f>E16*Assumptions!G54</f>
        <v>783.58340808000014</v>
      </c>
      <c r="F80" s="84">
        <f>F16*Assumptions!H54</f>
        <v>890.40812968800014</v>
      </c>
      <c r="G80" s="84">
        <f>G16*Assumptions!I54</f>
        <v>1013.6085996168001</v>
      </c>
    </row>
    <row r="81" spans="1:7" ht="19.5" customHeight="1">
      <c r="A81" s="113" t="s">
        <v>61</v>
      </c>
      <c r="B81" s="89">
        <f t="shared" ref="B81:G81" si="10">SUM(B75:B80)</f>
        <v>1444.4</v>
      </c>
      <c r="C81" s="90">
        <f t="shared" si="10"/>
        <v>1553.3178370000001</v>
      </c>
      <c r="D81" s="90">
        <f t="shared" si="10"/>
        <v>1678.0417007000001</v>
      </c>
      <c r="E81" s="90">
        <f t="shared" si="10"/>
        <v>1821.3431667700002</v>
      </c>
      <c r="F81" s="90">
        <f t="shared" si="10"/>
        <v>1986.3010386470003</v>
      </c>
      <c r="G81" s="90">
        <f t="shared" si="10"/>
        <v>2176.5462087517003</v>
      </c>
    </row>
    <row r="82" spans="1:7" ht="19.5" customHeight="1">
      <c r="A82" s="48" t="s">
        <v>227</v>
      </c>
      <c r="B82" s="83"/>
      <c r="C82" s="86"/>
      <c r="D82" s="86"/>
      <c r="E82" s="86"/>
      <c r="F82" s="86"/>
      <c r="G82" s="86"/>
    </row>
    <row r="83" spans="1:7" ht="19.5" customHeight="1">
      <c r="A83" s="32" t="s">
        <v>363</v>
      </c>
      <c r="B83" s="82">
        <f>Actuals!M37</f>
        <v>1786.15</v>
      </c>
      <c r="C83" s="84">
        <f>Assumptions!E55+MAX(0,(C58+C60+C61+C63+C64+C65+C66)-(C73+C81+C84+C85+C86+C87+C88+C89+Assumptions!E55))</f>
        <v>2087.4123241559996</v>
      </c>
      <c r="D83" s="84">
        <f>Assumptions!F55+MAX(0,(D58+D60+D61+D63+D64+D65+D66)-(D73+D81+D84+D85+D86+D87+D88+D89+Assumptions!F55))</f>
        <v>2345.2451936724033</v>
      </c>
      <c r="E83" s="84">
        <f>Assumptions!G55+MAX(0,(E58+E60+E61+E63+E64+E65+E66)-(E73+E81+E84+E85+E86+E87+E88+E89+Assumptions!G55))</f>
        <v>2472.0320539572408</v>
      </c>
      <c r="F83" s="84">
        <f>Assumptions!H55+MAX(0,(F58+F60+F61+F63+F64+F65+F66)-(F73+F81+F84+F85+F86+F87+F88+F89+Assumptions!H55))</f>
        <v>2449.2331103337679</v>
      </c>
      <c r="G83" s="84">
        <f>Assumptions!I55+MAX(0,(G58+G60+G61+G63+G64+G65+G66)-(G73+G81+G84+G85+G86+G87+G88+G89+Assumptions!I55))</f>
        <v>2255.3675499068218</v>
      </c>
    </row>
    <row r="84" spans="1:7" ht="19.5" customHeight="1">
      <c r="A84" s="32" t="s">
        <v>63</v>
      </c>
      <c r="B84" s="82">
        <f>Actuals!M38</f>
        <v>1252.0899999999999</v>
      </c>
      <c r="C84" s="84">
        <f>C16*Assumptions!E23</f>
        <v>1386.3942</v>
      </c>
      <c r="D84" s="84">
        <f>D16*Assumptions!F23</f>
        <v>1569.96162</v>
      </c>
      <c r="E84" s="84">
        <f>E16*Assumptions!G23</f>
        <v>1780.871382</v>
      </c>
      <c r="F84" s="84">
        <f>F16*Assumptions!H23</f>
        <v>2023.6548402000001</v>
      </c>
      <c r="G84" s="84">
        <f>G16*Assumptions!I23</f>
        <v>2303.6559082200001</v>
      </c>
    </row>
    <row r="85" spans="1:7" ht="19.5" customHeight="1">
      <c r="A85" s="32" t="s">
        <v>64</v>
      </c>
      <c r="B85" s="82">
        <f>Actuals!M39</f>
        <v>9.5</v>
      </c>
      <c r="C85" s="84">
        <f>C16*Assumptions!E56</f>
        <v>10.783066</v>
      </c>
      <c r="D85" s="84">
        <f>D16*Assumptions!F56</f>
        <v>12.210812600000001</v>
      </c>
      <c r="E85" s="84">
        <f>E16*Assumptions!G56</f>
        <v>13.851221860000001</v>
      </c>
      <c r="F85" s="84">
        <f>F16*Assumptions!H56</f>
        <v>15.739537646</v>
      </c>
      <c r="G85" s="84">
        <f>G16*Assumptions!I56</f>
        <v>17.9173237306</v>
      </c>
    </row>
    <row r="86" spans="1:7" ht="19.5" customHeight="1">
      <c r="A86" s="32" t="s">
        <v>65</v>
      </c>
      <c r="B86" s="82">
        <f>Actuals!M40</f>
        <v>333.58</v>
      </c>
      <c r="C86" s="84">
        <f>C16*Assumptions!E57</f>
        <v>377.40731</v>
      </c>
      <c r="D86" s="84">
        <f>D16*Assumptions!F57</f>
        <v>427.37844100000001</v>
      </c>
      <c r="E86" s="84">
        <f>E16*Assumptions!G57</f>
        <v>484.79276510000005</v>
      </c>
      <c r="F86" s="84">
        <f>F16*Assumptions!H57</f>
        <v>550.88381761000005</v>
      </c>
      <c r="G86" s="84">
        <f>G16*Assumptions!I57</f>
        <v>627.10633057100006</v>
      </c>
    </row>
    <row r="87" spans="1:7" ht="19.5" customHeight="1">
      <c r="A87" s="32" t="s">
        <v>66</v>
      </c>
      <c r="B87" s="82">
        <f>Actuals!M41</f>
        <v>161.94999999999999</v>
      </c>
      <c r="C87" s="84">
        <f>C16*Assumptions!E25</f>
        <v>154.0438</v>
      </c>
      <c r="D87" s="84">
        <f>D16*Assumptions!F25</f>
        <v>174.44018</v>
      </c>
      <c r="E87" s="84">
        <f>E16*Assumptions!G25</f>
        <v>197.87459800000002</v>
      </c>
      <c r="F87" s="84">
        <f>F16*Assumptions!H25</f>
        <v>224.85053780000001</v>
      </c>
      <c r="G87" s="84">
        <f>G16*Assumptions!I25</f>
        <v>255.96176758000001</v>
      </c>
    </row>
    <row r="88" spans="1:7" ht="19.5" customHeight="1">
      <c r="A88" s="32" t="s">
        <v>67</v>
      </c>
      <c r="B88" s="82">
        <f>Actuals!M42</f>
        <v>37.89</v>
      </c>
      <c r="C88" s="84">
        <f>C16*Assumptions!E58</f>
        <v>43.132263999999999</v>
      </c>
      <c r="D88" s="84">
        <f>D16*Assumptions!F58</f>
        <v>48.843250400000002</v>
      </c>
      <c r="E88" s="84">
        <f>E16*Assumptions!G58</f>
        <v>55.404887440000003</v>
      </c>
      <c r="F88" s="84">
        <f>F16*Assumptions!H58</f>
        <v>62.958150584000002</v>
      </c>
      <c r="G88" s="84">
        <f>G16*Assumptions!I58</f>
        <v>71.669294922399999</v>
      </c>
    </row>
    <row r="89" spans="1:7" ht="19.5" customHeight="1">
      <c r="A89" s="32" t="s">
        <v>228</v>
      </c>
      <c r="B89" s="82">
        <f>Actuals!M43</f>
        <v>54.27</v>
      </c>
      <c r="C89" s="84">
        <f>C16*Assumptions!E59</f>
        <v>61.617519999999999</v>
      </c>
      <c r="D89" s="84">
        <f>D16*Assumptions!F59</f>
        <v>69.776071999999999</v>
      </c>
      <c r="E89" s="84">
        <f>E16*Assumptions!G59</f>
        <v>79.149839200000002</v>
      </c>
      <c r="F89" s="84">
        <f>F16*Assumptions!H59</f>
        <v>89.940215120000005</v>
      </c>
      <c r="G89" s="84">
        <f>G16*Assumptions!I59</f>
        <v>102.38470703200001</v>
      </c>
    </row>
    <row r="90" spans="1:7" ht="19.5" customHeight="1">
      <c r="A90" s="107" t="s">
        <v>69</v>
      </c>
      <c r="B90" s="89">
        <f t="shared" ref="B90:G90" si="11">SUM(B83:B89)</f>
        <v>3635.4299999999994</v>
      </c>
      <c r="C90" s="90">
        <f t="shared" si="11"/>
        <v>4120.7904841559994</v>
      </c>
      <c r="D90" s="90">
        <f t="shared" si="11"/>
        <v>4647.8555696724025</v>
      </c>
      <c r="E90" s="90">
        <f t="shared" si="11"/>
        <v>5083.9767475572407</v>
      </c>
      <c r="F90" s="90">
        <f t="shared" si="11"/>
        <v>5417.2602092937677</v>
      </c>
      <c r="G90" s="90">
        <f t="shared" si="11"/>
        <v>5634.0628819628218</v>
      </c>
    </row>
    <row r="91" spans="1:7" ht="19.5" customHeight="1">
      <c r="A91" s="107" t="s">
        <v>70</v>
      </c>
      <c r="B91" s="89">
        <f t="shared" ref="B91:G91" si="12">B73+B81+B90</f>
        <v>10511.189999999999</v>
      </c>
      <c r="C91" s="90">
        <f t="shared" si="12"/>
        <v>11861.940266</v>
      </c>
      <c r="D91" s="90">
        <f t="shared" si="12"/>
        <v>13383.144482600001</v>
      </c>
      <c r="E91" s="90">
        <f t="shared" si="12"/>
        <v>14961.74860886</v>
      </c>
      <c r="F91" s="90">
        <f t="shared" si="12"/>
        <v>16608.548533346002</v>
      </c>
      <c r="G91" s="90">
        <f t="shared" si="12"/>
        <v>18336.4309130006</v>
      </c>
    </row>
    <row r="92" spans="1:7" ht="19.5" customHeight="1">
      <c r="A92" s="114" t="s">
        <v>229</v>
      </c>
      <c r="B92" s="89">
        <f t="shared" ref="B92:G92" si="13">B68-B91</f>
        <v>0</v>
      </c>
      <c r="C92" s="90">
        <f>C68-C91</f>
        <v>0</v>
      </c>
      <c r="D92" s="90">
        <f t="shared" si="13"/>
        <v>0</v>
      </c>
      <c r="E92" s="90">
        <f t="shared" si="13"/>
        <v>0</v>
      </c>
      <c r="F92" s="90">
        <f t="shared" si="13"/>
        <v>0</v>
      </c>
      <c r="G92" s="90">
        <f t="shared" si="13"/>
        <v>0</v>
      </c>
    </row>
  </sheetData>
  <mergeCells count="4">
    <mergeCell ref="A46:A47"/>
    <mergeCell ref="C47:G47"/>
    <mergeCell ref="A3:A4"/>
    <mergeCell ref="C4:G4"/>
  </mergeCells>
  <pageMargins left="0.7" right="0.7" top="0.75" bottom="0.75" header="0.3" footer="0.3"/>
  <ignoredErrors>
    <ignoredError sqref="B15:G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4"/>
  <sheetViews>
    <sheetView topLeftCell="A24" zoomScale="70" zoomScaleNormal="70" workbookViewId="0">
      <selection activeCell="B49" sqref="B49"/>
    </sheetView>
  </sheetViews>
  <sheetFormatPr defaultColWidth="8.6328125" defaultRowHeight="14.5"/>
  <cols>
    <col min="1" max="1" width="84" bestFit="1" customWidth="1"/>
    <col min="2" max="2" width="8.81640625" customWidth="1"/>
    <col min="3" max="7" width="14" customWidth="1"/>
    <col min="8" max="8" width="13" customWidth="1"/>
    <col min="10" max="10" width="52" customWidth="1"/>
    <col min="11" max="11" width="7.90625" bestFit="1" customWidth="1"/>
  </cols>
  <sheetData>
    <row r="1" spans="1:11" ht="16.5" customHeight="1"/>
    <row r="2" spans="1:11" ht="14.25" customHeight="1">
      <c r="A2" s="2"/>
    </row>
    <row r="3" spans="1:11" ht="14.25" customHeight="1">
      <c r="A3" s="159" t="s">
        <v>254</v>
      </c>
      <c r="B3" s="17" t="s">
        <v>79</v>
      </c>
      <c r="C3" s="18" t="s">
        <v>80</v>
      </c>
      <c r="D3" s="18" t="s">
        <v>81</v>
      </c>
      <c r="E3" s="18" t="s">
        <v>82</v>
      </c>
      <c r="F3" s="18" t="s">
        <v>83</v>
      </c>
      <c r="G3" s="18" t="s">
        <v>84</v>
      </c>
      <c r="J3" s="40" t="s">
        <v>253</v>
      </c>
    </row>
    <row r="4" spans="1:11" ht="14.25" customHeight="1">
      <c r="A4" s="160"/>
      <c r="B4" s="39" t="s">
        <v>203</v>
      </c>
      <c r="C4" s="161" t="s">
        <v>87</v>
      </c>
      <c r="D4" s="161"/>
      <c r="E4" s="161"/>
      <c r="F4" s="161"/>
      <c r="G4" s="161"/>
      <c r="J4" t="s">
        <v>255</v>
      </c>
      <c r="K4" s="49">
        <f>Actuals!M30</f>
        <v>611.34</v>
      </c>
    </row>
    <row r="5" spans="1:11" ht="21.75" customHeight="1">
      <c r="A5" s="21" t="s">
        <v>2</v>
      </c>
      <c r="B5" s="1" t="s">
        <v>7</v>
      </c>
      <c r="C5" s="20" t="s">
        <v>88</v>
      </c>
      <c r="D5" s="20" t="s">
        <v>89</v>
      </c>
      <c r="E5" s="20" t="s">
        <v>90</v>
      </c>
      <c r="F5" s="20" t="s">
        <v>91</v>
      </c>
      <c r="G5" s="20" t="s">
        <v>92</v>
      </c>
      <c r="J5" t="s">
        <v>256</v>
      </c>
      <c r="K5" s="49">
        <f>Actuals!M37</f>
        <v>1786.15</v>
      </c>
    </row>
    <row r="6" spans="1:11" ht="14.25" customHeight="1">
      <c r="A6" t="s">
        <v>206</v>
      </c>
      <c r="B6" s="117"/>
      <c r="C6" s="84">
        <f>'Forecast 1 (Growth-Margin)'!C12</f>
        <v>1449.4444749999993</v>
      </c>
      <c r="D6" s="84">
        <f>'Forecast 1 (Growth-Margin)'!D12</f>
        <v>1666.8611462499994</v>
      </c>
      <c r="E6" s="84">
        <f>'Forecast 1 (Growth-Margin)'!E12</f>
        <v>1916.8903181874996</v>
      </c>
      <c r="F6" s="84">
        <f>'Forecast 1 (Growth-Margin)'!F12</f>
        <v>2204.4238659156244</v>
      </c>
      <c r="G6" s="84">
        <f>'Forecast 1 (Growth-Margin)'!G12</f>
        <v>2535.0874458029666</v>
      </c>
      <c r="J6" t="s">
        <v>257</v>
      </c>
      <c r="K6" s="49">
        <f>Actuals!M31</f>
        <v>111.49</v>
      </c>
    </row>
    <row r="7" spans="1:11" ht="14.25" customHeight="1">
      <c r="A7" t="s">
        <v>258</v>
      </c>
      <c r="B7" s="117"/>
      <c r="C7" s="115">
        <f>Assumptions!E15</f>
        <v>0.25169999999999998</v>
      </c>
      <c r="D7" s="115">
        <f>Assumptions!F15</f>
        <v>0.25169999999999998</v>
      </c>
      <c r="E7" s="115">
        <f>Assumptions!G15</f>
        <v>0.25169999999999998</v>
      </c>
      <c r="F7" s="115">
        <f>Assumptions!H15</f>
        <v>0.25169999999999998</v>
      </c>
      <c r="G7" s="115">
        <f>Assumptions!I15</f>
        <v>0.25169999999999998</v>
      </c>
      <c r="J7" t="s">
        <v>259</v>
      </c>
      <c r="K7" s="49">
        <f>Actuals!M39</f>
        <v>9.5</v>
      </c>
    </row>
    <row r="8" spans="1:11" ht="14.25" customHeight="1">
      <c r="A8" t="s">
        <v>260</v>
      </c>
      <c r="B8" s="117"/>
      <c r="C8" s="84">
        <f>C6*(1-C7)</f>
        <v>1084.6193006424994</v>
      </c>
      <c r="D8" s="84">
        <f>D6*(1-D7)</f>
        <v>1247.3121957388744</v>
      </c>
      <c r="E8" s="84">
        <f>E6*(1-E7)</f>
        <v>1434.4090250997058</v>
      </c>
      <c r="F8" s="84">
        <f>F6*(1-F7)</f>
        <v>1649.5703788646617</v>
      </c>
      <c r="G8" s="84">
        <f>G6*(1-G7)</f>
        <v>1897.0059356943598</v>
      </c>
      <c r="J8" s="40" t="s">
        <v>261</v>
      </c>
      <c r="K8" s="52">
        <f>SUM(K4:K7)</f>
        <v>2518.48</v>
      </c>
    </row>
    <row r="9" spans="1:11" ht="14.25" customHeight="1">
      <c r="A9" t="s">
        <v>262</v>
      </c>
      <c r="B9" s="117"/>
      <c r="C9" s="84">
        <f>'Forecast 1 (Growth-Margin)'!C11</f>
        <v>587.61262499999987</v>
      </c>
      <c r="D9" s="84">
        <f>'Forecast 1 (Growth-Margin)'!D11</f>
        <v>675.75451874999987</v>
      </c>
      <c r="E9" s="84">
        <f>'Forecast 1 (Growth-Margin)'!E11</f>
        <v>777.11769656249976</v>
      </c>
      <c r="F9" s="84">
        <f>'Forecast 1 (Growth-Margin)'!F11</f>
        <v>893.68535104687464</v>
      </c>
      <c r="G9" s="84">
        <f>'Forecast 1 (Growth-Margin)'!G11</f>
        <v>1027.7381537039057</v>
      </c>
      <c r="J9" t="s">
        <v>33</v>
      </c>
      <c r="K9" s="49">
        <f>Actuals!M18</f>
        <v>112.66</v>
      </c>
    </row>
    <row r="10" spans="1:11" ht="14.25" customHeight="1">
      <c r="A10" t="s">
        <v>263</v>
      </c>
      <c r="B10" s="117"/>
      <c r="C10" s="84">
        <f>-'Forecast 1 (Growth-Margin)'!C32</f>
        <v>-1200</v>
      </c>
      <c r="D10" s="84">
        <f>-'Forecast 1 (Growth-Margin)'!D32</f>
        <v>-1200</v>
      </c>
      <c r="E10" s="84">
        <f>-'Forecast 1 (Growth-Margin)'!E32</f>
        <v>-1200</v>
      </c>
      <c r="F10" s="84">
        <f>-'Forecast 1 (Growth-Margin)'!F32</f>
        <v>-1200</v>
      </c>
      <c r="G10" s="84">
        <f>-'Forecast 1 (Growth-Margin)'!G32</f>
        <v>-1200</v>
      </c>
      <c r="J10" t="s">
        <v>35</v>
      </c>
      <c r="K10" s="49">
        <f>Actuals!M19</f>
        <v>1.04</v>
      </c>
    </row>
    <row r="11" spans="1:11" ht="14.25" customHeight="1">
      <c r="A11" t="s">
        <v>264</v>
      </c>
      <c r="B11" s="117"/>
      <c r="C11" s="84">
        <f>-'Forecast 1 (Growth-Margin)'!C31</f>
        <v>-541.73914999999943</v>
      </c>
      <c r="D11" s="84">
        <f>-'Forecast 1 (Growth-Margin)'!D31</f>
        <v>-575.86037250000027</v>
      </c>
      <c r="E11" s="84">
        <f>-'Forecast 1 (Growth-Margin)'!E31</f>
        <v>-662.23942837499908</v>
      </c>
      <c r="F11" s="84">
        <f>-'Forecast 1 (Growth-Margin)'!F31</f>
        <v>-761.57534263125035</v>
      </c>
      <c r="G11" s="84">
        <f>-'Forecast 1 (Growth-Margin)'!G31</f>
        <v>-875.81164402593367</v>
      </c>
      <c r="J11" t="s">
        <v>265</v>
      </c>
      <c r="K11" s="49">
        <f>Actuals!M11</f>
        <v>309.27</v>
      </c>
    </row>
    <row r="12" spans="1:11" ht="14.25" customHeight="1">
      <c r="A12" s="53" t="s">
        <v>266</v>
      </c>
      <c r="B12" s="118"/>
      <c r="C12" s="85">
        <f>C8+C9+C10+C11</f>
        <v>-69.507224357500036</v>
      </c>
      <c r="D12" s="85">
        <f>D8+D9+D10+D11</f>
        <v>147.2063419888741</v>
      </c>
      <c r="E12" s="85">
        <f>E8+E9+E10+E11</f>
        <v>349.28729328720647</v>
      </c>
      <c r="F12" s="85">
        <f>F8+F9+F10+F11</f>
        <v>581.68038728028614</v>
      </c>
      <c r="G12" s="85">
        <f>G8+G9+G10+G11</f>
        <v>848.93244537233204</v>
      </c>
      <c r="J12" s="40" t="s">
        <v>267</v>
      </c>
      <c r="K12" s="52">
        <f>SUM(K9:K11)</f>
        <v>422.96999999999997</v>
      </c>
    </row>
    <row r="13" spans="1:11" ht="14.25" customHeight="1">
      <c r="A13" t="s">
        <v>268</v>
      </c>
      <c r="B13" s="117"/>
      <c r="C13" s="116">
        <f>1/(1+'Cost of Capital'!$B$23)^1</f>
        <v>0.87721382138495518</v>
      </c>
      <c r="D13" s="116">
        <f>1/(1+'Cost of Capital'!$B$23)^2</f>
        <v>0.76950408842879603</v>
      </c>
      <c r="E13" s="116">
        <f>1/(1+'Cost of Capital'!$B$23)^3</f>
        <v>0.67501962198197052</v>
      </c>
      <c r="F13" s="116">
        <f>1/(1+'Cost of Capital'!$B$23)^4</f>
        <v>0.59213654210863231</v>
      </c>
      <c r="G13" s="116">
        <f>1/(1+'Cost of Capital'!$B$23)^5</f>
        <v>0.51943035888478672</v>
      </c>
      <c r="J13" t="s">
        <v>52</v>
      </c>
      <c r="K13" s="49">
        <f>Actuals!M28</f>
        <v>131.30000000000001</v>
      </c>
    </row>
    <row r="14" spans="1:11" ht="14.25" customHeight="1">
      <c r="A14" s="54" t="s">
        <v>269</v>
      </c>
      <c r="B14" s="118"/>
      <c r="C14" s="85">
        <f>C12*C13</f>
        <v>-60.972697892504044</v>
      </c>
      <c r="D14" s="85">
        <f>D12*D13</f>
        <v>113.27588200308617</v>
      </c>
      <c r="E14" s="85">
        <f>E12*E13</f>
        <v>235.77577667783578</v>
      </c>
      <c r="F14" s="85">
        <f>F12*F13</f>
        <v>344.4342131365587</v>
      </c>
      <c r="G14" s="85">
        <f>G12*G13</f>
        <v>440.96128476869001</v>
      </c>
    </row>
    <row r="15" spans="1:11" ht="14.25" customHeight="1">
      <c r="A15" t="s">
        <v>270</v>
      </c>
      <c r="B15" s="49">
        <f>'Economic Profit'!G14</f>
        <v>12982.187592468901</v>
      </c>
    </row>
    <row r="16" spans="1:11" ht="14.25" customHeight="1">
      <c r="A16" t="s">
        <v>271</v>
      </c>
      <c r="B16" s="49">
        <f>SUM(C14:G14)</f>
        <v>1073.4744586936667</v>
      </c>
    </row>
    <row r="17" spans="1:7" ht="14.25" customHeight="1">
      <c r="A17" t="s">
        <v>272</v>
      </c>
      <c r="B17" s="49">
        <f>(G8*(1+'Cost of Capital'!$B$25)-'Cost of Capital'!$B$25*B15)/('Cost of Capital'!$B$23-'Cost of Capital'!$B$25)</f>
        <v>14539.924342532229</v>
      </c>
    </row>
    <row r="18" spans="1:7" ht="14.25" customHeight="1">
      <c r="A18" t="s">
        <v>273</v>
      </c>
      <c r="B18" s="49">
        <f>B17*G13</f>
        <v>7552.4781193991621</v>
      </c>
    </row>
    <row r="19" spans="1:7" ht="14.25" customHeight="1">
      <c r="A19" s="40" t="s">
        <v>274</v>
      </c>
      <c r="B19" s="52">
        <f>B16+B18</f>
        <v>8625.9525780928288</v>
      </c>
    </row>
    <row r="20" spans="1:7" ht="14.25" customHeight="1">
      <c r="A20" t="s">
        <v>275</v>
      </c>
      <c r="B20" s="49">
        <f>-$K$8</f>
        <v>-2518.48</v>
      </c>
    </row>
    <row r="21" spans="1:7" ht="14.25" customHeight="1">
      <c r="A21" t="s">
        <v>276</v>
      </c>
      <c r="B21" s="49">
        <f>$K$12</f>
        <v>422.96999999999997</v>
      </c>
    </row>
    <row r="22" spans="1:7" ht="14.25" customHeight="1">
      <c r="A22" t="s">
        <v>277</v>
      </c>
      <c r="B22" s="49">
        <f>-$K$13</f>
        <v>-131.30000000000001</v>
      </c>
    </row>
    <row r="23" spans="1:7" ht="14.25" customHeight="1">
      <c r="A23" s="40" t="s">
        <v>278</v>
      </c>
      <c r="B23" s="52">
        <f>B19+B20+B21+B22</f>
        <v>6399.1425780928294</v>
      </c>
    </row>
    <row r="24" spans="1:7" ht="14.25" customHeight="1">
      <c r="A24" t="s">
        <v>279</v>
      </c>
      <c r="B24" s="49">
        <f>Assumptions!D29</f>
        <v>53.985658200000003</v>
      </c>
    </row>
    <row r="25" spans="1:7" ht="15" customHeight="1">
      <c r="A25" s="119" t="s">
        <v>280</v>
      </c>
      <c r="B25" s="120">
        <f>B23/B24</f>
        <v>118.53412168072499</v>
      </c>
    </row>
    <row r="27" spans="1:7">
      <c r="A27" s="159" t="s">
        <v>281</v>
      </c>
      <c r="B27" s="17" t="s">
        <v>79</v>
      </c>
      <c r="C27" s="18" t="s">
        <v>80</v>
      </c>
      <c r="D27" s="18" t="s">
        <v>81</v>
      </c>
      <c r="E27" s="18" t="s">
        <v>82</v>
      </c>
      <c r="F27" s="18" t="s">
        <v>83</v>
      </c>
      <c r="G27" s="18" t="s">
        <v>84</v>
      </c>
    </row>
    <row r="28" spans="1:7" ht="14.25" customHeight="1">
      <c r="A28" s="160"/>
      <c r="B28" s="39" t="s">
        <v>203</v>
      </c>
      <c r="C28" s="161" t="s">
        <v>87</v>
      </c>
      <c r="D28" s="161"/>
      <c r="E28" s="161"/>
      <c r="F28" s="161"/>
      <c r="G28" s="161"/>
    </row>
    <row r="29" spans="1:7" ht="21.75" customHeight="1">
      <c r="A29" s="21" t="s">
        <v>2</v>
      </c>
      <c r="B29" s="1" t="s">
        <v>7</v>
      </c>
      <c r="C29" s="20" t="s">
        <v>88</v>
      </c>
      <c r="D29" s="20" t="s">
        <v>89</v>
      </c>
      <c r="E29" s="20" t="s">
        <v>90</v>
      </c>
      <c r="F29" s="20" t="s">
        <v>91</v>
      </c>
      <c r="G29" s="20" t="s">
        <v>92</v>
      </c>
    </row>
    <row r="30" spans="1:7" ht="14.25" customHeight="1">
      <c r="A30" t="s">
        <v>206</v>
      </c>
      <c r="B30" s="117"/>
      <c r="C30" s="84">
        <f>'Forecast 2 (Segment-based)'!C25</f>
        <v>1424.9051499999996</v>
      </c>
      <c r="D30" s="84">
        <f>'Forecast 2 (Segment-based)'!D25</f>
        <v>1613.5716649999999</v>
      </c>
      <c r="E30" s="84">
        <f>'Forecast 2 (Segment-based)'!E25</f>
        <v>1830.3400314999999</v>
      </c>
      <c r="F30" s="84">
        <f>'Forecast 2 (Segment-based)'!F25</f>
        <v>2079.8674746499996</v>
      </c>
      <c r="G30" s="84">
        <f>'Forecast 2 (Segment-based)'!G25</f>
        <v>2367.6463501150001</v>
      </c>
    </row>
    <row r="31" spans="1:7" ht="14.25" customHeight="1">
      <c r="A31" t="s">
        <v>258</v>
      </c>
      <c r="B31" s="117"/>
      <c r="C31" s="115">
        <f>Assumptions!E15</f>
        <v>0.25169999999999998</v>
      </c>
      <c r="D31" s="115">
        <f>Assumptions!F15</f>
        <v>0.25169999999999998</v>
      </c>
      <c r="E31" s="115">
        <f>Assumptions!G15</f>
        <v>0.25169999999999998</v>
      </c>
      <c r="F31" s="115">
        <f>Assumptions!H15</f>
        <v>0.25169999999999998</v>
      </c>
      <c r="G31" s="115">
        <f>Assumptions!I15</f>
        <v>0.25169999999999998</v>
      </c>
    </row>
    <row r="32" spans="1:7" ht="14.25" customHeight="1">
      <c r="A32" t="s">
        <v>260</v>
      </c>
      <c r="B32" s="117"/>
      <c r="C32" s="84">
        <f>C30*(1-C31)</f>
        <v>1066.2565237449996</v>
      </c>
      <c r="D32" s="84">
        <f>D30*(1-D31)</f>
        <v>1207.4356769194999</v>
      </c>
      <c r="E32" s="84">
        <f>E30*(1-E31)</f>
        <v>1369.6434455714498</v>
      </c>
      <c r="F32" s="84">
        <f>F30*(1-F31)</f>
        <v>1556.3648312805947</v>
      </c>
      <c r="G32" s="84">
        <f>G30*(1-G31)</f>
        <v>1771.7097637910545</v>
      </c>
    </row>
    <row r="33" spans="1:7" ht="14.25" customHeight="1">
      <c r="A33" t="s">
        <v>262</v>
      </c>
      <c r="B33" s="117"/>
      <c r="C33" s="84">
        <f>'Forecast 2 (Segment-based)'!C24</f>
        <v>577.66424999999992</v>
      </c>
      <c r="D33" s="84">
        <f>'Forecast 2 (Segment-based)'!D24</f>
        <v>654.15067499999998</v>
      </c>
      <c r="E33" s="84">
        <f>'Forecast 2 (Segment-based)'!E24</f>
        <v>742.0297425</v>
      </c>
      <c r="F33" s="84">
        <f>'Forecast 2 (Segment-based)'!F24</f>
        <v>843.18951675000005</v>
      </c>
      <c r="G33" s="84">
        <f>'Forecast 2 (Segment-based)'!G24</f>
        <v>959.85662842500005</v>
      </c>
    </row>
    <row r="34" spans="1:7" ht="14.25" customHeight="1">
      <c r="A34" t="s">
        <v>263</v>
      </c>
      <c r="B34" s="117"/>
      <c r="C34" s="84">
        <f>-'Forecast 2 (Segment-based)'!C44</f>
        <v>-1200</v>
      </c>
      <c r="D34" s="84">
        <f>-'Forecast 2 (Segment-based)'!D44</f>
        <v>-1200</v>
      </c>
      <c r="E34" s="84">
        <f>-'Forecast 2 (Segment-based)'!E44</f>
        <v>-1200</v>
      </c>
      <c r="F34" s="84">
        <f>-'Forecast 2 (Segment-based)'!F44</f>
        <v>-1200</v>
      </c>
      <c r="G34" s="84">
        <f>-'Forecast 2 (Segment-based)'!G44</f>
        <v>-1200</v>
      </c>
    </row>
    <row r="35" spans="1:7" ht="14.25" customHeight="1">
      <c r="A35" t="s">
        <v>264</v>
      </c>
      <c r="B35" s="117"/>
      <c r="C35" s="84">
        <f>-'Forecast 2 (Segment-based)'!C43</f>
        <v>-476.74310000000105</v>
      </c>
      <c r="D35" s="84">
        <f>-'Forecast 2 (Segment-based)'!D43</f>
        <v>-499.71130999999923</v>
      </c>
      <c r="E35" s="84">
        <f>-'Forecast 2 (Segment-based)'!E43</f>
        <v>-574.14324099999885</v>
      </c>
      <c r="F35" s="84">
        <f>-'Forecast 2 (Segment-based)'!F43</f>
        <v>-660.91052510000191</v>
      </c>
      <c r="G35" s="84">
        <f>-'Forecast 2 (Segment-based)'!G43</f>
        <v>-762.22512960999939</v>
      </c>
    </row>
    <row r="36" spans="1:7" ht="14.25" customHeight="1">
      <c r="A36" s="53" t="s">
        <v>266</v>
      </c>
      <c r="B36" s="118"/>
      <c r="C36" s="85">
        <f>C32+C33+C34+C35</f>
        <v>-32.822326255001371</v>
      </c>
      <c r="D36" s="85">
        <f>D32+D33+D34+D35</f>
        <v>161.87504191950075</v>
      </c>
      <c r="E36" s="85">
        <f>E32+E33+E34+E35</f>
        <v>337.52994707145081</v>
      </c>
      <c r="F36" s="85">
        <f>F32+F33+F34+F35</f>
        <v>538.64382293059271</v>
      </c>
      <c r="G36" s="85">
        <f>G32+G33+G34+G35</f>
        <v>769.34126260605535</v>
      </c>
    </row>
    <row r="37" spans="1:7" ht="14.25" customHeight="1">
      <c r="A37" t="s">
        <v>268</v>
      </c>
      <c r="B37" s="117"/>
      <c r="C37" s="116">
        <f>1/(1+'Cost of Capital'!$B$23)^1</f>
        <v>0.87721382138495518</v>
      </c>
      <c r="D37" s="116">
        <f>1/(1+'Cost of Capital'!$B$23)^2</f>
        <v>0.76950408842879603</v>
      </c>
      <c r="E37" s="116">
        <f>1/(1+'Cost of Capital'!$B$23)^3</f>
        <v>0.67501962198197052</v>
      </c>
      <c r="F37" s="116">
        <f>1/(1+'Cost of Capital'!$B$23)^4</f>
        <v>0.59213654210863231</v>
      </c>
      <c r="G37" s="116">
        <f>1/(1+'Cost of Capital'!$B$23)^5</f>
        <v>0.51943035888478672</v>
      </c>
    </row>
    <row r="38" spans="1:7" ht="14.25" customHeight="1">
      <c r="A38" s="54" t="s">
        <v>269</v>
      </c>
      <c r="B38" s="118"/>
      <c r="C38" s="85">
        <f>C36*C37</f>
        <v>-28.792198240893498</v>
      </c>
      <c r="D38" s="85">
        <f>D36*D37</f>
        <v>124.56350657163857</v>
      </c>
      <c r="E38" s="85">
        <f>E36*E37</f>
        <v>227.83933727976523</v>
      </c>
      <c r="F38" s="85">
        <f>F36*F37</f>
        <v>318.95069073829558</v>
      </c>
      <c r="G38" s="85">
        <f>G36*G37</f>
        <v>399.61920814033829</v>
      </c>
    </row>
    <row r="39" spans="1:7" ht="14.25" customHeight="1">
      <c r="A39" t="s">
        <v>282</v>
      </c>
      <c r="B39" s="49">
        <f>'Economic Profit'!B6+SUM('Forecast 2 (Segment-based)'!C44:G44)-SUM('Forecast 2 (Segment-based)'!C24:G24)+SUM('Forecast 2 (Segment-based)'!C43:G43)</f>
        <v>12723.712493035</v>
      </c>
    </row>
    <row r="40" spans="1:7" ht="14.25" customHeight="1">
      <c r="A40" t="s">
        <v>271</v>
      </c>
      <c r="B40" s="49">
        <f>SUM(C38:G38)</f>
        <v>1042.1805444891443</v>
      </c>
    </row>
    <row r="41" spans="1:7" ht="14.25" customHeight="1">
      <c r="A41" t="s">
        <v>272</v>
      </c>
      <c r="B41" s="49">
        <f>(G32*(1+'Cost of Capital'!$B$25)-'Cost of Capital'!$B$25*B39)/('Cost of Capital'!$B$23-'Cost of Capital'!$B$25)</f>
        <v>13339.909210871196</v>
      </c>
    </row>
    <row r="42" spans="1:7" ht="14.25" customHeight="1">
      <c r="A42" t="s">
        <v>273</v>
      </c>
      <c r="B42" s="49">
        <f>B41*G37</f>
        <v>6929.153828893297</v>
      </c>
    </row>
    <row r="43" spans="1:7" ht="14.25" customHeight="1">
      <c r="A43" s="40" t="s">
        <v>274</v>
      </c>
      <c r="B43" s="52">
        <f>B40+B42</f>
        <v>7971.3343733824413</v>
      </c>
    </row>
    <row r="44" spans="1:7" ht="14.25" customHeight="1">
      <c r="A44" t="s">
        <v>275</v>
      </c>
      <c r="B44" s="49">
        <f>-$K$8</f>
        <v>-2518.48</v>
      </c>
    </row>
    <row r="45" spans="1:7" ht="14.25" customHeight="1">
      <c r="A45" t="s">
        <v>276</v>
      </c>
      <c r="B45" s="49">
        <f>$K$12</f>
        <v>422.96999999999997</v>
      </c>
    </row>
    <row r="46" spans="1:7" ht="14.25" customHeight="1">
      <c r="A46" t="s">
        <v>277</v>
      </c>
      <c r="B46" s="49">
        <f>-$K$13</f>
        <v>-131.30000000000001</v>
      </c>
    </row>
    <row r="47" spans="1:7" ht="14.25" customHeight="1">
      <c r="A47" s="40" t="s">
        <v>278</v>
      </c>
      <c r="B47" s="52">
        <f>B43+B44+B45+B46</f>
        <v>5744.5243733824409</v>
      </c>
    </row>
    <row r="48" spans="1:7" ht="14.25" customHeight="1">
      <c r="A48" t="s">
        <v>283</v>
      </c>
      <c r="B48" s="49">
        <f>Assumptions!D29</f>
        <v>53.985658200000003</v>
      </c>
    </row>
    <row r="49" spans="1:8" ht="15" customHeight="1">
      <c r="A49" s="119" t="s">
        <v>284</v>
      </c>
      <c r="B49" s="120">
        <f>B47/B48</f>
        <v>106.4083418618473</v>
      </c>
    </row>
    <row r="52" spans="1:8" ht="14.25" customHeight="1">
      <c r="A52" s="159" t="s">
        <v>285</v>
      </c>
    </row>
    <row r="53" spans="1:8" ht="14.25" customHeight="1">
      <c r="A53" s="160"/>
    </row>
    <row r="54" spans="1:8" ht="14.25" customHeight="1">
      <c r="A54" s="128" t="s">
        <v>286</v>
      </c>
      <c r="B54" s="129">
        <v>0.03</v>
      </c>
      <c r="C54" s="129">
        <v>3.5000000000000003E-2</v>
      </c>
      <c r="D54" s="129">
        <v>0.04</v>
      </c>
      <c r="E54" s="129">
        <v>4.4999999999999998E-2</v>
      </c>
      <c r="F54" s="129">
        <v>0.05</v>
      </c>
    </row>
    <row r="55" spans="1:8" ht="14.25" customHeight="1">
      <c r="A55" s="126">
        <v>0.12</v>
      </c>
      <c r="B55" s="127">
        <f>((C12/(1+0.12)^1+D12/(1+0.12)^2+E12/(1+0.12)^3+F12/(1+0.12)^4+G12/(1+0.12)^5+((G8*(1+0.03)-0.03*$B$15)/(0.12-0.03))/(1+0.12)^5)+$B$20+$B$21+$B$22)/$B$24</f>
        <v>162.85679446083699</v>
      </c>
      <c r="C55" s="127">
        <f>((C12/(1+0.12)^1+D12/(1+0.12)^2+E12/(1+0.12)^3+F12/(1+0.12)^4+G12/(1+0.12)^5+((G8*(1+0.035)-0.035*$B$15)/(0.12-0.035))/(1+0.12)^5)+$B$20+$B$21+$B$22)/$B$24</f>
        <v>166.75045191675864</v>
      </c>
      <c r="D55" s="127">
        <f>((C12/(1+0.12)^1+D12/(1+0.12)^2+E12/(1+0.12)^3+F12/(1+0.12)^4+G12/(1+0.12)^5+((G8*(1+0.04)-0.04*$B$15)/(0.12-0.04))/(1+0.12)^5)+$B$20+$B$21+$B$22)/$B$24</f>
        <v>171.13081655467062</v>
      </c>
      <c r="E55" s="127">
        <f>((C12/(1+0.12)^1+D12/(1+0.12)^2+E12/(1+0.12)^3+F12/(1+0.12)^4+G12/(1+0.12)^5+((G8*(1+0.045)-0.045*$B$15)/(0.12-0.045))/(1+0.12)^5)+$B$20+$B$21+$B$22)/$B$24</f>
        <v>176.09522981097066</v>
      </c>
      <c r="F55" s="127">
        <f>((C12/(1+0.12)^1+D12/(1+0.12)^2+E12/(1+0.12)^3+F12/(1+0.12)^4+G12/(1+0.12)^5+((G8*(1+0.05)-0.05*$B$15)/(0.12-0.05))/(1+0.12)^5)+$B$20+$B$21+$B$22)/$B$24</f>
        <v>181.76884496102795</v>
      </c>
    </row>
    <row r="56" spans="1:8" ht="14.25" customHeight="1">
      <c r="A56" s="126">
        <v>0.13</v>
      </c>
      <c r="B56" s="127">
        <f>((C12/(1+0.13)^1+D12/(1+0.13)^2+E12/(1+0.13)^3+F12/(1+0.13)^4+G12/(1+0.13)^5+((G8*(1+0.03)-0.03*$B$15)/(0.13-0.03))/(1+0.13)^5)+$B$20+$B$21+$B$22)/$B$24</f>
        <v>136.66165520694426</v>
      </c>
      <c r="C56" s="127">
        <f>((C12/(1+0.13)^1+D12/(1+0.13)^2+E12/(1+0.13)^3+F12/(1+0.13)^4+G12/(1+0.13)^5+((G8*(1+0.035)-0.035*$B$15)/(0.13-0.035))/(1+0.13)^5)+$B$20+$B$21+$B$22)/$B$24</f>
        <v>139.07420430594232</v>
      </c>
      <c r="D56" s="127">
        <f>((C12/(1+0.13)^1+D12/(1+0.13)^2+E12/(1+0.13)^3+F12/(1+0.13)^4+G12/(1+0.13)^5+((G8*(1+0.04)-0.04*$B$15)/(0.13-0.04))/(1+0.13)^5)+$B$20+$B$21+$B$22)/$B$24</f>
        <v>141.75481441594013</v>
      </c>
      <c r="E56" s="127">
        <f>((C12/(1+0.13)^1+D12/(1+0.13)^2+E12/(1+0.13)^3+F12/(1+0.13)^4+G12/(1+0.13)^5+((G8*(1+0.045)-0.045*$B$15)/(0.13-0.045))/(1+0.13)^5)+$B$20+$B$21+$B$22)/$B$24</f>
        <v>144.7507904212317</v>
      </c>
      <c r="F56" s="127">
        <f>((C12/(1+0.13)^1+D12/(1+0.13)^2+E12/(1+0.13)^3+F12/(1+0.13)^4+G12/(1+0.13)^5+((G8*(1+0.05)-0.05*$B$15)/(0.13-0.05))/(1+0.13)^5)+$B$20+$B$21+$B$22)/$B$24</f>
        <v>148.12126342718486</v>
      </c>
    </row>
    <row r="57" spans="1:8" ht="14.25" customHeight="1">
      <c r="A57" s="126">
        <v>0.14000000000000001</v>
      </c>
      <c r="B57" s="127">
        <f>((C12/(1+0.14)^1+D12/(1+0.14)^2+E12/(1+0.14)^3+F12/(1+0.14)^4+G12/(1+0.14)^5+((G8*(1+0.03)-0.03*$B$15)/(0.14-0.03))/(1+0.14)^5)+$B$20+$B$21+$B$22)/$B$24</f>
        <v>115.45962229508363</v>
      </c>
      <c r="C57" s="127">
        <f>((C12/(1+0.14)^1+D12/(1+0.14)^2+E12/(1+0.14)^3+F12/(1+0.14)^4+G12/(1+0.14)^5+((G8*(1+0.035)-0.035*$B$15)/(0.14-0.035))/(1+0.14)^5)+$B$20+$B$21+$B$22)/$B$24</f>
        <v>116.89678449546531</v>
      </c>
      <c r="D57" s="127">
        <f>((C12/(1+0.14)^1+D12/(1+0.14)^2+E12/(1+0.14)^3+F12/(1+0.14)^4+G12/(1+0.14)^5+((G8*(1+0.04)-0.04*$B$15)/(0.14-0.04))/(1+0.14)^5)+$B$20+$B$21+$B$22)/$B$24</f>
        <v>118.47766291588513</v>
      </c>
      <c r="E57" s="127">
        <f>((C12/(1+0.14)^1+D12/(1+0.14)^2+E12/(1+0.14)^3+F12/(1+0.14)^4+G12/(1+0.14)^5+((G8*(1+0.045)-0.045*$B$15)/(0.14-0.045))/(1+0.14)^5)+$B$20+$B$21+$B$22)/$B$24</f>
        <v>120.22494959108592</v>
      </c>
      <c r="F57" s="127">
        <f>((C12/(1+0.14)^1+D12/(1+0.14)^2+E12/(1+0.14)^3+F12/(1+0.14)^4+G12/(1+0.14)^5+((G8*(1+0.05)-0.05*$B$15)/(0.14-0.05))/(1+0.14)^5)+$B$20+$B$21+$B$22)/$B$24</f>
        <v>122.16637923019799</v>
      </c>
    </row>
    <row r="58" spans="1:8" ht="14.25" customHeight="1">
      <c r="A58" s="126">
        <v>0.15</v>
      </c>
      <c r="B58" s="127">
        <f>((C12/(1+0.15)^1+D12/(1+0.15)^2+E12/(1+0.15)^3+F12/(1+0.15)^4+G12/(1+0.15)^5+((G8*(1+0.03)-0.03*$B$15)/(0.15-0.03))/(1+0.15)^5)+$B$20+$B$21+$B$22)/$B$24</f>
        <v>97.990910440588607</v>
      </c>
      <c r="C58" s="127">
        <f>((C12/(1+0.15)^1+D12/(1+0.15)^2+E12/(1+0.15)^3+F12/(1+0.15)^4+G12/(1+0.15)^5+((G8*(1+0.035)-0.035*$B$15)/(0.15-0.035))/(1+0.15)^5)+$B$20+$B$21+$B$22)/$B$24</f>
        <v>98.772472376029825</v>
      </c>
      <c r="D58" s="127">
        <f>((C12/(1+0.15)^1+D12/(1+0.15)^2+E12/(1+0.15)^3+F12/(1+0.15)^4+G12/(1+0.15)^5+((G8*(1+0.04)-0.04*$B$15)/(0.15-0.04))/(1+0.15)^5)+$B$20+$B$21+$B$22)/$B$24</f>
        <v>99.625085396511167</v>
      </c>
      <c r="E58" s="127">
        <f>((C12/(1+0.15)^1+D12/(1+0.15)^2+E12/(1+0.15)^3+F12/(1+0.15)^4+G12/(1+0.15)^5+((G8*(1+0.045)-0.045*$B$15)/(0.15-0.045))/(1+0.15)^5)+$B$20+$B$21+$B$22)/$B$24</f>
        <v>100.55889965703828</v>
      </c>
      <c r="F58" s="127">
        <f>((C12/(1+0.15)^1+D12/(1+0.15)^2+E12/(1+0.15)^3+F12/(1+0.15)^4+G12/(1+0.15)^5+((G8*(1+0.05)-0.05*$B$15)/(0.15-0.05))/(1+0.15)^5)+$B$20+$B$21+$B$22)/$B$24</f>
        <v>101.58609534361817</v>
      </c>
    </row>
    <row r="59" spans="1:8" ht="14.25" customHeight="1">
      <c r="A59" s="126">
        <v>0.16</v>
      </c>
      <c r="B59" s="127">
        <f>((C12/(1+0.16)^1+D12/(1+0.16)^2+E12/(1+0.16)^3+F12/(1+0.16)^4+G12/(1+0.16)^5+((G8*(1+0.03)-0.03*$B$15)/(0.16-0.03))/(1+0.16)^5)+$B$20+$B$21+$B$22)/$B$24</f>
        <v>83.384038868729476</v>
      </c>
      <c r="C59" s="127">
        <f>((C12/(1+0.16)^1+D12/(1+0.16)^2+E12/(1+0.16)^3+F12/(1+0.16)^4+G12/(1+0.16)^5+((G8*(1+0.035)-0.035*$B$15)/(0.16-0.035))/(1+0.16)^5)+$B$20+$B$21+$B$22)/$B$24</f>
        <v>83.718836242455225</v>
      </c>
      <c r="D59" s="127">
        <f>((C12/(1+0.16)^1+D12/(1+0.16)^2+E12/(1+0.16)^3+F12/(1+0.16)^4+G12/(1+0.16)^5+((G8*(1+0.04)-0.04*$B$15)/(0.16-0.04))/(1+0.16)^5)+$B$20+$B$21+$B$22)/$B$24</f>
        <v>84.081533397324804</v>
      </c>
      <c r="E59" s="127">
        <f>((C12/(1+0.16)^1+D12/(1+0.16)^2+E12/(1+0.16)^3+F12/(1+0.16)^4+G12/(1+0.16)^5+((G8*(1+0.045)-0.045*$B$15)/(0.16-0.045))/(1+0.16)^5)+$B$20+$B$21+$B$22)/$B$24</f>
        <v>84.475769435226482</v>
      </c>
      <c r="F59" s="127">
        <f>((C12/(1+0.16)^1+D12/(1+0.16)^2+E12/(1+0.16)^3+F12/(1+0.16)^4+G12/(1+0.16)^5+((G8*(1+0.05)-0.05*$B$15)/(0.16-0.05))/(1+0.16)^5)+$B$20+$B$21+$B$22)/$B$24</f>
        <v>84.905845112937428</v>
      </c>
    </row>
    <row r="62" spans="1:8" ht="14.25" customHeight="1">
      <c r="H62" s="57"/>
    </row>
    <row r="63" spans="1:8" ht="14.25" customHeight="1"/>
    <row r="64" spans="1:8" ht="14.25" customHeight="1">
      <c r="H64" s="57"/>
    </row>
    <row r="65" spans="1:8" ht="14.25" customHeight="1">
      <c r="H65" s="57"/>
    </row>
    <row r="66" spans="1:8" ht="14.25" customHeight="1">
      <c r="H66" s="57"/>
    </row>
    <row r="67" spans="1:8" ht="14.25" customHeight="1">
      <c r="H67" s="57"/>
    </row>
    <row r="68" spans="1:8" ht="14.25" customHeight="1">
      <c r="H68" s="57"/>
    </row>
    <row r="69" spans="1:8" ht="14.25" customHeight="1">
      <c r="A69" s="58"/>
      <c r="B69" s="59"/>
      <c r="C69" s="60"/>
      <c r="D69" s="61"/>
      <c r="E69" s="62"/>
      <c r="F69" s="63"/>
      <c r="G69" s="58"/>
      <c r="H69" s="57"/>
    </row>
    <row r="70" spans="1:8" ht="14.25" customHeight="1">
      <c r="A70" s="58"/>
      <c r="B70" s="59"/>
      <c r="C70" s="60"/>
      <c r="D70" s="61"/>
      <c r="E70" s="62"/>
      <c r="F70" s="63"/>
      <c r="G70" s="58"/>
      <c r="H70" s="57"/>
    </row>
    <row r="71" spans="1:8" ht="14.25" customHeight="1">
      <c r="A71" s="64"/>
      <c r="B71" s="65"/>
      <c r="C71" s="66"/>
      <c r="D71" s="67"/>
      <c r="E71" s="68"/>
      <c r="F71" s="69"/>
      <c r="G71" s="64"/>
      <c r="H71" s="57"/>
    </row>
    <row r="72" spans="1:8" ht="14.25" customHeight="1">
      <c r="A72" s="57"/>
      <c r="B72" s="57"/>
      <c r="C72" s="57"/>
      <c r="D72" s="57"/>
      <c r="E72" s="57"/>
      <c r="F72" s="57"/>
      <c r="G72" s="57"/>
      <c r="H72" s="57"/>
    </row>
    <row r="73" spans="1:8" ht="14.25" customHeight="1">
      <c r="A73" s="2"/>
      <c r="B73" s="70"/>
      <c r="C73" s="57"/>
      <c r="D73" s="57"/>
      <c r="E73" s="57"/>
      <c r="F73" s="57"/>
      <c r="G73" s="57"/>
      <c r="H73" s="57"/>
    </row>
    <row r="74" spans="1:8" ht="14.25" customHeight="1">
      <c r="A74" s="71"/>
      <c r="B74" s="71"/>
      <c r="C74" s="71"/>
      <c r="D74" s="71"/>
      <c r="E74" s="57"/>
      <c r="F74" s="57"/>
      <c r="G74" s="57"/>
      <c r="H74" s="57"/>
    </row>
    <row r="75" spans="1:8" ht="14.25" customHeight="1">
      <c r="A75" s="40"/>
      <c r="B75" s="72"/>
      <c r="C75" s="57"/>
      <c r="D75" s="57"/>
      <c r="E75" s="57"/>
      <c r="F75" s="57"/>
      <c r="G75" s="57"/>
      <c r="H75" s="57"/>
    </row>
    <row r="76" spans="1:8" ht="14.25" customHeight="1">
      <c r="A76" s="40"/>
      <c r="B76" s="73"/>
      <c r="C76" s="57"/>
      <c r="D76" s="57"/>
      <c r="E76" s="57"/>
      <c r="F76" s="57"/>
      <c r="G76" s="57"/>
      <c r="H76" s="57"/>
    </row>
    <row r="77" spans="1:8" ht="14.25" customHeight="1">
      <c r="A77" s="57"/>
      <c r="B77" s="57"/>
      <c r="C77" s="57"/>
      <c r="D77" s="57"/>
      <c r="E77" s="57"/>
      <c r="F77" s="57"/>
      <c r="G77" s="57"/>
      <c r="H77" s="57"/>
    </row>
    <row r="78" spans="1:8" ht="14.25" customHeight="1">
      <c r="A78" s="14"/>
      <c r="B78" s="57"/>
      <c r="C78" s="57"/>
      <c r="D78" s="57"/>
      <c r="E78" s="57"/>
      <c r="F78" s="57"/>
      <c r="G78" s="57"/>
      <c r="H78" s="57"/>
    </row>
    <row r="79" spans="1:8" ht="14.25" customHeight="1">
      <c r="A79" s="57"/>
      <c r="B79" s="74"/>
      <c r="C79" s="57"/>
      <c r="D79" s="57"/>
      <c r="E79" s="57"/>
      <c r="F79" s="57"/>
      <c r="G79" s="57"/>
      <c r="H79" s="57"/>
    </row>
    <row r="80" spans="1:8" ht="14.25" customHeight="1">
      <c r="A80" s="40"/>
      <c r="B80" s="52"/>
      <c r="C80" s="57"/>
      <c r="D80" s="57"/>
      <c r="E80" s="57"/>
      <c r="F80" s="57"/>
      <c r="G80" s="57"/>
      <c r="H80" s="57"/>
    </row>
    <row r="81" spans="1:8" ht="14.25" customHeight="1">
      <c r="A81" s="57"/>
      <c r="B81" s="57"/>
      <c r="C81" s="57"/>
      <c r="D81" s="57"/>
      <c r="E81" s="57"/>
      <c r="F81" s="57"/>
      <c r="G81" s="57"/>
      <c r="H81" s="57"/>
    </row>
    <row r="82" spans="1:8" ht="14.25" customHeight="1">
      <c r="A82" s="14"/>
      <c r="B82" s="57"/>
      <c r="C82" s="57"/>
      <c r="D82" s="57"/>
      <c r="E82" s="57"/>
      <c r="F82" s="57"/>
      <c r="G82" s="57"/>
      <c r="H82" s="57"/>
    </row>
    <row r="83" spans="1:8" ht="14.25" customHeight="1">
      <c r="A83" s="57"/>
      <c r="B83" s="75"/>
      <c r="C83" s="57"/>
      <c r="D83" s="57"/>
      <c r="E83" s="57"/>
      <c r="F83" s="57"/>
      <c r="G83" s="57"/>
      <c r="H83" s="57"/>
    </row>
    <row r="84" spans="1:8" ht="14.25" customHeight="1">
      <c r="A84" s="57"/>
      <c r="B84" s="75"/>
      <c r="C84" s="57"/>
      <c r="D84" s="57"/>
      <c r="E84" s="57"/>
      <c r="F84" s="57"/>
      <c r="G84" s="57"/>
      <c r="H84" s="57"/>
    </row>
    <row r="85" spans="1:8" ht="14.25" customHeight="1">
      <c r="A85" s="57"/>
      <c r="B85" s="75"/>
      <c r="C85" s="57"/>
      <c r="D85" s="57"/>
      <c r="E85" s="57"/>
      <c r="F85" s="57"/>
      <c r="G85" s="57"/>
      <c r="H85" s="57"/>
    </row>
    <row r="86" spans="1:8" ht="14.25" customHeight="1">
      <c r="A86" s="57"/>
      <c r="B86" s="75"/>
      <c r="C86" s="57"/>
      <c r="D86" s="57"/>
      <c r="E86" s="57"/>
      <c r="F86" s="57"/>
      <c r="G86" s="57"/>
      <c r="H86" s="57"/>
    </row>
    <row r="87" spans="1:8" ht="14.25" customHeight="1">
      <c r="A87" s="57"/>
      <c r="B87" s="75"/>
      <c r="C87" s="57"/>
      <c r="D87" s="57"/>
      <c r="E87" s="57"/>
      <c r="F87" s="57"/>
      <c r="G87" s="57"/>
      <c r="H87" s="57"/>
    </row>
    <row r="88" spans="1:8" ht="14.25" customHeight="1">
      <c r="A88" s="40"/>
      <c r="B88" s="52"/>
      <c r="C88" s="57"/>
      <c r="D88" s="57"/>
      <c r="E88" s="57"/>
      <c r="F88" s="57"/>
      <c r="G88" s="57"/>
      <c r="H88" s="57"/>
    </row>
    <row r="89" spans="1:8" ht="14.25" customHeight="1">
      <c r="A89" s="57"/>
      <c r="B89" s="75"/>
      <c r="C89" s="57"/>
      <c r="D89" s="57"/>
      <c r="E89" s="57"/>
      <c r="F89" s="57"/>
      <c r="G89" s="57"/>
      <c r="H89" s="57"/>
    </row>
    <row r="90" spans="1:8" ht="14.25" customHeight="1">
      <c r="A90" s="40"/>
      <c r="B90" s="52"/>
      <c r="C90" s="57"/>
      <c r="D90" s="57"/>
      <c r="E90" s="57"/>
      <c r="F90" s="57"/>
      <c r="G90" s="57"/>
      <c r="H90" s="57"/>
    </row>
    <row r="91" spans="1:8" ht="14.25" customHeight="1">
      <c r="A91" s="16"/>
    </row>
    <row r="92" spans="1:8" ht="14.25" customHeight="1">
      <c r="A92" s="57"/>
      <c r="B92" s="57"/>
      <c r="C92" s="57"/>
      <c r="D92" s="57"/>
      <c r="E92" s="57"/>
      <c r="F92" s="57"/>
      <c r="G92" s="57"/>
      <c r="H92" s="57"/>
    </row>
    <row r="93" spans="1:8" ht="14.25" customHeight="1">
      <c r="A93" s="14"/>
      <c r="B93" s="57"/>
      <c r="C93" s="57"/>
      <c r="D93" s="57"/>
      <c r="E93" s="57"/>
      <c r="F93" s="57"/>
      <c r="G93" s="57"/>
      <c r="H93" s="57"/>
    </row>
    <row r="94" spans="1:8" ht="14.25" customHeight="1">
      <c r="A94" s="50"/>
      <c r="B94" s="50"/>
      <c r="C94" s="50"/>
      <c r="D94" s="50"/>
      <c r="E94" s="57"/>
      <c r="F94" s="57"/>
      <c r="G94" s="57"/>
      <c r="H94" s="57"/>
    </row>
    <row r="95" spans="1:8" ht="14.25" customHeight="1">
      <c r="A95" s="57"/>
      <c r="B95" s="75"/>
      <c r="C95" s="76"/>
      <c r="D95" s="57"/>
      <c r="E95" s="57"/>
      <c r="F95" s="57"/>
      <c r="G95" s="57"/>
      <c r="H95" s="57"/>
    </row>
    <row r="96" spans="1:8" ht="14.25" customHeight="1">
      <c r="A96" s="57"/>
      <c r="B96" s="75"/>
      <c r="C96" s="76"/>
      <c r="D96" s="57"/>
      <c r="E96" s="57"/>
      <c r="F96" s="57"/>
      <c r="G96" s="57"/>
      <c r="H96" s="57"/>
    </row>
    <row r="97" spans="1:8" ht="14.25" customHeight="1">
      <c r="A97" s="57"/>
      <c r="B97" s="75"/>
      <c r="C97" s="76"/>
      <c r="D97" s="57"/>
      <c r="E97" s="57"/>
      <c r="F97" s="57"/>
      <c r="G97" s="57"/>
      <c r="H97" s="57"/>
    </row>
    <row r="98" spans="1:8" ht="14.25" customHeight="1">
      <c r="B98" s="49"/>
      <c r="C98" s="77"/>
    </row>
    <row r="99" spans="1:8" ht="14.25" customHeight="1">
      <c r="B99" s="49"/>
      <c r="C99" s="77"/>
    </row>
    <row r="100" spans="1:8" ht="14.25" customHeight="1">
      <c r="A100" s="40"/>
      <c r="B100" s="52"/>
    </row>
    <row r="101" spans="1:8" ht="15" customHeight="1">
      <c r="A101" s="55"/>
      <c r="B101" s="56"/>
    </row>
    <row r="102" spans="1:8" ht="14.25" customHeight="1">
      <c r="A102" s="40"/>
      <c r="B102" s="78"/>
    </row>
    <row r="104" spans="1:8" ht="14.25" customHeight="1">
      <c r="A104" s="16"/>
    </row>
  </sheetData>
  <mergeCells count="5">
    <mergeCell ref="A3:A4"/>
    <mergeCell ref="C4:G4"/>
    <mergeCell ref="A27:A28"/>
    <mergeCell ref="C28:G28"/>
    <mergeCell ref="A52:A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G44"/>
  <sheetViews>
    <sheetView topLeftCell="A28" workbookViewId="0">
      <selection activeCell="B35" sqref="B35"/>
    </sheetView>
  </sheetViews>
  <sheetFormatPr defaultColWidth="8.6328125" defaultRowHeight="14.5"/>
  <cols>
    <col min="1" max="1" width="88.6328125" bestFit="1" customWidth="1"/>
    <col min="2" max="8" width="14" customWidth="1"/>
  </cols>
  <sheetData>
    <row r="3" spans="1:7" ht="14.25" customHeight="1">
      <c r="A3" s="159" t="s">
        <v>288</v>
      </c>
      <c r="B3" s="17" t="s">
        <v>79</v>
      </c>
      <c r="C3" s="18" t="s">
        <v>80</v>
      </c>
      <c r="D3" s="18" t="s">
        <v>81</v>
      </c>
      <c r="E3" s="18" t="s">
        <v>82</v>
      </c>
      <c r="F3" s="18" t="s">
        <v>83</v>
      </c>
      <c r="G3" s="18" t="s">
        <v>84</v>
      </c>
    </row>
    <row r="4" spans="1:7" ht="14.25" customHeight="1">
      <c r="A4" s="160"/>
      <c r="B4" s="39" t="s">
        <v>203</v>
      </c>
      <c r="C4" s="161" t="s">
        <v>87</v>
      </c>
      <c r="D4" s="161"/>
      <c r="E4" s="161"/>
      <c r="F4" s="161"/>
      <c r="G4" s="161"/>
    </row>
    <row r="5" spans="1:7" ht="14.25" customHeight="1">
      <c r="A5" s="21" t="s">
        <v>2</v>
      </c>
      <c r="B5" s="1" t="s">
        <v>7</v>
      </c>
      <c r="C5" s="20" t="s">
        <v>88</v>
      </c>
      <c r="D5" s="20" t="s">
        <v>89</v>
      </c>
      <c r="E5" s="20" t="s">
        <v>90</v>
      </c>
      <c r="F5" s="20" t="s">
        <v>91</v>
      </c>
      <c r="G5" s="20" t="s">
        <v>92</v>
      </c>
    </row>
    <row r="6" spans="1:7" ht="14.25" customHeight="1">
      <c r="A6" s="40" t="s">
        <v>287</v>
      </c>
      <c r="B6" s="132">
        <f>Actuals!M29+'DCF-FCFF'!K8-'DCF-FCFF'!K12</f>
        <v>7526.87</v>
      </c>
      <c r="C6" s="84"/>
      <c r="D6" s="84"/>
      <c r="E6" s="84"/>
      <c r="F6" s="84"/>
      <c r="G6" s="84"/>
    </row>
    <row r="7" spans="1:7" ht="14.25" customHeight="1">
      <c r="A7" t="s">
        <v>289</v>
      </c>
      <c r="B7" s="117"/>
      <c r="C7" s="133">
        <f>'DCF-FCFF'!C8</f>
        <v>1084.6193006424994</v>
      </c>
      <c r="D7" s="133">
        <f>'DCF-FCFF'!D8</f>
        <v>1247.3121957388744</v>
      </c>
      <c r="E7" s="133">
        <f>'DCF-FCFF'!E8</f>
        <v>1434.4090250997058</v>
      </c>
      <c r="F7" s="133">
        <f>'DCF-FCFF'!F8</f>
        <v>1649.5703788646617</v>
      </c>
      <c r="G7" s="133">
        <f>'DCF-FCFF'!G8</f>
        <v>1897.0059356943598</v>
      </c>
    </row>
    <row r="8" spans="1:7" ht="14.25" customHeight="1">
      <c r="A8" t="s">
        <v>290</v>
      </c>
      <c r="B8" s="117"/>
      <c r="C8" s="84">
        <f>$B$6</f>
        <v>7526.87</v>
      </c>
      <c r="D8" s="84">
        <f>C14</f>
        <v>8680.9965249999987</v>
      </c>
      <c r="E8" s="84">
        <f>D14</f>
        <v>9781.102378749998</v>
      </c>
      <c r="F8" s="84">
        <f>E14</f>
        <v>10866.224110562498</v>
      </c>
      <c r="G8" s="84">
        <f>F14</f>
        <v>11934.114102146874</v>
      </c>
    </row>
    <row r="9" spans="1:7" ht="14.25" customHeight="1">
      <c r="A9" t="s">
        <v>291</v>
      </c>
      <c r="B9" s="117"/>
      <c r="C9" s="84">
        <f>C8*'Cost of Capital'!$B$23</f>
        <v>1053.5579601026946</v>
      </c>
      <c r="D9" s="84">
        <f>D8*'Cost of Capital'!$B$23</f>
        <v>1215.1044179768721</v>
      </c>
      <c r="E9" s="84">
        <f>E8*'Cost of Capital'!$B$23</f>
        <v>1369.0894448438012</v>
      </c>
      <c r="F9" s="84">
        <f>F8*'Cost of Capital'!$B$23</f>
        <v>1520.9771004339043</v>
      </c>
      <c r="G9" s="84">
        <f>G8*'Cost of Capital'!$B$23</f>
        <v>1670.4527790556581</v>
      </c>
    </row>
    <row r="10" spans="1:7" ht="14.25" customHeight="1">
      <c r="A10" s="40" t="s">
        <v>292</v>
      </c>
      <c r="B10" s="117"/>
      <c r="C10" s="84">
        <f>C7-C9</f>
        <v>31.06134053980486</v>
      </c>
      <c r="D10" s="84">
        <f>D7-D9</f>
        <v>32.207777762002252</v>
      </c>
      <c r="E10" s="84">
        <f>E7-E9</f>
        <v>65.319580255904611</v>
      </c>
      <c r="F10" s="84">
        <f>F7-F9</f>
        <v>128.59327843075744</v>
      </c>
      <c r="G10" s="84">
        <f>G7-G9</f>
        <v>226.55315663870169</v>
      </c>
    </row>
    <row r="11" spans="1:7" ht="14.25" customHeight="1">
      <c r="A11" t="s">
        <v>268</v>
      </c>
      <c r="B11" s="117"/>
      <c r="C11" s="84">
        <f>1/(1+'Cost of Capital'!$B$23)^1</f>
        <v>0.87721382138495518</v>
      </c>
      <c r="D11" s="84">
        <f>1/(1+'Cost of Capital'!$B$23)^2</f>
        <v>0.76950408842879603</v>
      </c>
      <c r="E11" s="84">
        <f>1/(1+'Cost of Capital'!$B$23)^3</f>
        <v>0.67501962198197052</v>
      </c>
      <c r="F11" s="84">
        <f>1/(1+'Cost of Capital'!$B$23)^4</f>
        <v>0.59213654210863231</v>
      </c>
      <c r="G11" s="84">
        <f>1/(1+'Cost of Capital'!$B$23)^5</f>
        <v>0.51943035888478672</v>
      </c>
    </row>
    <row r="12" spans="1:7" ht="14.25" customHeight="1">
      <c r="A12" t="s">
        <v>293</v>
      </c>
      <c r="B12" s="118"/>
      <c r="C12" s="85">
        <f>C10*C11</f>
        <v>27.247437232261646</v>
      </c>
      <c r="D12" s="85">
        <f>D10*D11</f>
        <v>24.784016667066791</v>
      </c>
      <c r="E12" s="85">
        <f>E10*E11</f>
        <v>44.091998372361715</v>
      </c>
      <c r="F12" s="85">
        <f>F10*F11</f>
        <v>76.144779228401276</v>
      </c>
      <c r="G12" s="85">
        <f>G10*G11</f>
        <v>117.67858745932212</v>
      </c>
    </row>
    <row r="13" spans="1:7" ht="14.25" customHeight="1">
      <c r="A13" t="s">
        <v>294</v>
      </c>
      <c r="B13" s="117"/>
      <c r="C13" s="84">
        <f>'Forecast 1 (Growth-Margin)'!C32-'Forecast 1 (Growth-Margin)'!C11+'Forecast 1 (Growth-Margin)'!C31</f>
        <v>1154.1265249999997</v>
      </c>
      <c r="D13" s="84">
        <f>'Forecast 1 (Growth-Margin)'!D32-'Forecast 1 (Growth-Margin)'!D11+'Forecast 1 (Growth-Margin)'!D31</f>
        <v>1100.1058537500003</v>
      </c>
      <c r="E13" s="84">
        <f>'Forecast 1 (Growth-Margin)'!E32-'Forecast 1 (Growth-Margin)'!E11+'Forecast 1 (Growth-Margin)'!E31</f>
        <v>1085.1217318124993</v>
      </c>
      <c r="F13" s="84">
        <f>'Forecast 1 (Growth-Margin)'!F32-'Forecast 1 (Growth-Margin)'!F11+'Forecast 1 (Growth-Margin)'!F31</f>
        <v>1067.8899915843758</v>
      </c>
      <c r="G13" s="84">
        <f>'Forecast 1 (Growth-Margin)'!G32-'Forecast 1 (Growth-Margin)'!G11+'Forecast 1 (Growth-Margin)'!G31</f>
        <v>1048.073490322028</v>
      </c>
    </row>
    <row r="14" spans="1:7" ht="14.25" customHeight="1">
      <c r="A14" t="s">
        <v>295</v>
      </c>
      <c r="B14" s="118"/>
      <c r="C14" s="85">
        <f>C8+C13</f>
        <v>8680.9965249999987</v>
      </c>
      <c r="D14" s="85">
        <f>D8+D13</f>
        <v>9781.102378749998</v>
      </c>
      <c r="E14" s="85">
        <f>E8+E13</f>
        <v>10866.224110562498</v>
      </c>
      <c r="F14" s="85">
        <f>F8+F13</f>
        <v>11934.114102146874</v>
      </c>
      <c r="G14" s="85">
        <f>G8+G13</f>
        <v>12982.187592468901</v>
      </c>
    </row>
    <row r="16" spans="1:7" ht="14.25" customHeight="1">
      <c r="A16" t="s">
        <v>296</v>
      </c>
      <c r="B16" s="49">
        <f>SUM(C12:G12)</f>
        <v>289.94681895941352</v>
      </c>
    </row>
    <row r="17" spans="1:4" ht="14.25" customHeight="1">
      <c r="A17" t="s">
        <v>297</v>
      </c>
      <c r="B17" s="49">
        <f>(G7*(1+'Cost of Capital'!$B$25)-'Cost of Capital'!$B$23*G14)/('Cost of Capital'!$B$23-'Cost of Capital'!$B$25)</f>
        <v>1557.7367500633252</v>
      </c>
    </row>
    <row r="18" spans="1:4" ht="14.25" customHeight="1">
      <c r="A18" t="s">
        <v>298</v>
      </c>
      <c r="B18" s="49">
        <f>B17*G11</f>
        <v>809.13575913341435</v>
      </c>
    </row>
    <row r="19" spans="1:4" ht="14.25" customHeight="1">
      <c r="A19" s="40" t="s">
        <v>299</v>
      </c>
      <c r="B19" s="52">
        <f>B6+B16+B18</f>
        <v>8625.952578092827</v>
      </c>
    </row>
    <row r="21" spans="1:4" ht="14.25" customHeight="1">
      <c r="A21" s="14" t="s">
        <v>300</v>
      </c>
    </row>
    <row r="22" spans="1:4" ht="14.25" customHeight="1">
      <c r="A22" t="s">
        <v>301</v>
      </c>
      <c r="B22" s="49">
        <f>'DCF-FCFF'!B19</f>
        <v>8625.9525780928288</v>
      </c>
    </row>
    <row r="23" spans="1:4" ht="14.25" customHeight="1">
      <c r="A23" t="s">
        <v>302</v>
      </c>
      <c r="B23" s="49">
        <f>B19</f>
        <v>8625.952578092827</v>
      </c>
    </row>
    <row r="24" spans="1:4" ht="14.25" customHeight="1">
      <c r="A24" s="40" t="s">
        <v>303</v>
      </c>
      <c r="B24" s="13">
        <f>B19-B22</f>
        <v>0</v>
      </c>
    </row>
    <row r="25" spans="1:4" ht="14.25" customHeight="1">
      <c r="A25" t="s">
        <v>304</v>
      </c>
      <c r="B25" s="51">
        <f>B24/B22</f>
        <v>0</v>
      </c>
    </row>
    <row r="26" spans="1:4" ht="60" customHeight="1">
      <c r="A26" s="2"/>
    </row>
    <row r="27" spans="1:4" ht="14.25" customHeight="1">
      <c r="A27" s="159" t="s">
        <v>305</v>
      </c>
    </row>
    <row r="28" spans="1:4" ht="14.25" customHeight="1">
      <c r="A28" s="160"/>
      <c r="D28" s="14"/>
    </row>
    <row r="29" spans="1:4" ht="14.25" customHeight="1">
      <c r="A29" t="s">
        <v>306</v>
      </c>
      <c r="B29" s="49">
        <f>B19</f>
        <v>8625.952578092827</v>
      </c>
    </row>
    <row r="30" spans="1:4" ht="14.25" customHeight="1">
      <c r="A30" t="s">
        <v>307</v>
      </c>
      <c r="B30" s="49">
        <f>-'DCF-FCFF'!K8</f>
        <v>-2518.48</v>
      </c>
    </row>
    <row r="31" spans="1:4" ht="14.25" customHeight="1">
      <c r="A31" t="s">
        <v>276</v>
      </c>
      <c r="B31" s="49">
        <f>'DCF-FCFF'!K12</f>
        <v>422.96999999999997</v>
      </c>
    </row>
    <row r="32" spans="1:4" ht="14.25" customHeight="1">
      <c r="A32" t="s">
        <v>277</v>
      </c>
      <c r="B32" s="49">
        <f>-'DCF-FCFF'!K13</f>
        <v>-131.30000000000001</v>
      </c>
    </row>
    <row r="33" spans="1:6" ht="14.25" customHeight="1">
      <c r="A33" s="40" t="s">
        <v>278</v>
      </c>
      <c r="B33" s="52">
        <f>B19+B30+B31+B32</f>
        <v>6399.1425780928275</v>
      </c>
    </row>
    <row r="34" spans="1:6" ht="14.25" customHeight="1">
      <c r="A34" t="s">
        <v>279</v>
      </c>
      <c r="B34" s="49">
        <f>Assumptions!D29</f>
        <v>53.985658200000003</v>
      </c>
    </row>
    <row r="35" spans="1:6" ht="15" customHeight="1">
      <c r="A35" s="119" t="s">
        <v>308</v>
      </c>
      <c r="B35" s="120">
        <f>B33/B34</f>
        <v>118.53412168072497</v>
      </c>
    </row>
    <row r="37" spans="1:6" ht="14.25" customHeight="1">
      <c r="A37" s="159" t="s">
        <v>309</v>
      </c>
    </row>
    <row r="38" spans="1:6" ht="14.25" customHeight="1">
      <c r="A38" s="160"/>
    </row>
    <row r="39" spans="1:6" ht="14.25" customHeight="1">
      <c r="A39" s="128" t="s">
        <v>286</v>
      </c>
      <c r="B39" s="129">
        <v>0.03</v>
      </c>
      <c r="C39" s="129">
        <v>3.5000000000000003E-2</v>
      </c>
      <c r="D39" s="129">
        <v>0.04</v>
      </c>
      <c r="E39" s="129">
        <v>4.4999999999999998E-2</v>
      </c>
      <c r="F39" s="129">
        <v>0.05</v>
      </c>
    </row>
    <row r="40" spans="1:6" ht="14.25" customHeight="1">
      <c r="A40" s="130">
        <v>0.12</v>
      </c>
      <c r="B40" s="131">
        <f>($B$6+(C7-0.12*C8)/(1+0.12)^1+(D7-0.12*D8)/(1+0.12)^2+(E7-0.12*E8)/(1+0.12)^3+(F7-0.12*F8)/(1+0.12)^4+(G7-0.12*G8)/(1+0.12)^5+((G7*(1+0.03)-0.12*G14)/(0.12-0.03))/(1+0.12)^5+$B$30+$B$31+$B$32)/$B$34</f>
        <v>162.85679446083705</v>
      </c>
      <c r="C40" s="131">
        <f>($B$6+(C7-0.12*C8)/(1+0.12)^1+(D7-0.12*D8)/(1+0.12)^2+(E7-0.12*E8)/(1+0.12)^3+(F7-0.12*F8)/(1+0.12)^4+(G7-0.12*G8)/(1+0.12)^5+((G7*(1+0.035)-0.12*G14)/(0.12-0.035))/(1+0.12)^5+$B$30+$B$31+$B$32)/$B$34</f>
        <v>166.75045191675869</v>
      </c>
      <c r="D40" s="131">
        <f>($B$6+(C7-0.12*C8)/(1+0.12)^1+(D7-0.12*D8)/(1+0.12)^2+(E7-0.12*E8)/(1+0.12)^3+(F7-0.12*F8)/(1+0.12)^4+(G7-0.12*G8)/(1+0.12)^5+((G7*(1+0.04)-0.12*G14)/(0.12-0.04))/(1+0.12)^5+$B$30+$B$31+$B$32)/$B$34</f>
        <v>171.13081655467062</v>
      </c>
      <c r="E40" s="131">
        <f>($B$6+(C7-0.12*C8)/(1+0.12)^1+(D7-0.12*D8)/(1+0.12)^2+(E7-0.12*E8)/(1+0.12)^3+(F7-0.12*F8)/(1+0.12)^4+(G7-0.12*G8)/(1+0.12)^5+((G7*(1+0.045)-0.12*G14)/(0.12-0.045))/(1+0.12)^5+$B$30+$B$31+$B$32)/$B$34</f>
        <v>176.09522981097072</v>
      </c>
      <c r="F40" s="131">
        <f>($B$6+(C7-0.12*C8)/(1+0.12)^1+(D7-0.12*D8)/(1+0.12)^2+(E7-0.12*E8)/(1+0.12)^3+(F7-0.12*F8)/(1+0.12)^4+(G7-0.12*G8)/(1+0.12)^5+((G7*(1+0.05)-0.12*G14)/(0.12-0.05))/(1+0.12)^5+$B$30+$B$31+$B$32)/$B$34</f>
        <v>181.76884496102804</v>
      </c>
    </row>
    <row r="41" spans="1:6" ht="14.25" customHeight="1">
      <c r="A41" s="130">
        <v>0.13</v>
      </c>
      <c r="B41" s="131">
        <f>($B$6+(C7-0.13*C8)/(1+0.13)^1+(D7-0.13*D8)/(1+0.13)^2+(E7-0.13*E8)/(1+0.13)^3+(F7-0.13*F8)/(1+0.13)^4+(G7-0.13*G8)/(1+0.13)^5+((G7*(1+0.03)-0.13*G14)/(0.13-0.03))/(1+0.13)^5+$B$30+$B$31+$B$32)/$B$34</f>
        <v>136.66165520694418</v>
      </c>
      <c r="C41" s="131">
        <f>($B$6+(C7-0.13*C8)/(1+0.13)^1+(D7-0.13*D8)/(1+0.13)^2+(E7-0.13*E8)/(1+0.13)^3+(F7-0.13*F8)/(1+0.13)^4+(G7-0.13*G8)/(1+0.13)^5+((G7*(1+0.035)-0.13*G14)/(0.13-0.035))/(1+0.13)^5+$B$30+$B$31+$B$32)/$B$34</f>
        <v>139.07420430594217</v>
      </c>
      <c r="D41" s="131">
        <f>($B$6+(C7-0.13*C8)/(1+0.13)^1+(D7-0.13*D8)/(1+0.13)^2+(E7-0.13*E8)/(1+0.13)^3+(F7-0.13*F8)/(1+0.13)^4+(G7-0.13*G8)/(1+0.13)^5+((G7*(1+0.04)-0.13*G14)/(0.13-0.04))/(1+0.13)^5+$B$30+$B$31+$B$32)/$B$34</f>
        <v>141.75481441593999</v>
      </c>
      <c r="E41" s="131">
        <f>($B$6+(C7-0.13*C8)/(1+0.13)^1+(D7-0.13*D8)/(1+0.13)^2+(E7-0.13*E8)/(1+0.13)^3+(F7-0.13*F8)/(1+0.13)^4+(G7-0.13*G8)/(1+0.13)^5+((G7*(1+0.045)-0.13*G14)/(0.13-0.045))/(1+0.13)^5+$B$30+$B$31+$B$32)/$B$34</f>
        <v>144.75079042123161</v>
      </c>
      <c r="F41" s="131">
        <f>($B$6+(C7-0.13*C8)/(1+0.13)^1+(D7-0.13*D8)/(1+0.13)^2+(E7-0.13*E8)/(1+0.13)^3+(F7-0.13*F8)/(1+0.13)^4+(G7-0.13*G8)/(1+0.13)^5+((G7*(1+0.05)-0.13*G14)/(0.13-0.05))/(1+0.13)^5+$B$30+$B$31+$B$32)/$B$34</f>
        <v>148.12126342718477</v>
      </c>
    </row>
    <row r="42" spans="1:6" ht="14.25" customHeight="1">
      <c r="A42" s="130">
        <v>0.14000000000000001</v>
      </c>
      <c r="B42" s="131">
        <f>($B$6+(C7-0.14*C8)/(1+0.14)^1+(D7-0.14*D8)/(1+0.14)^2+(E7-0.14*E8)/(1+0.14)^3+(F7-0.14*F8)/(1+0.14)^4+(G7-0.14*G8)/(1+0.14)^5+((G7*(1+0.03)-0.14*G14)/(0.14-0.03))/(1+0.14)^5+$B$30+$B$31+$B$32)/$B$34</f>
        <v>115.45962229508373</v>
      </c>
      <c r="C42" s="131">
        <f>($B$6+(C7-0.14*C8)/(1+0.14)^1+(D7-0.14*D8)/(1+0.14)^2+(E7-0.14*E8)/(1+0.14)^3+(F7-0.14*F8)/(1+0.14)^4+(G7-0.14*G8)/(1+0.14)^5+((G7*(1+0.035)-0.14*G14)/(0.14-0.035))/(1+0.14)^5+$B$30+$B$31+$B$32)/$B$34</f>
        <v>116.89678449546538</v>
      </c>
      <c r="D42" s="131">
        <f>($B$6+(C7-0.14*C8)/(1+0.14)^1+(D7-0.14*D8)/(1+0.14)^2+(E7-0.14*E8)/(1+0.14)^3+(F7-0.14*F8)/(1+0.14)^4+(G7-0.14*G8)/(1+0.14)^5+((G7*(1+0.04)-0.14*G14)/(0.14-0.04))/(1+0.14)^5+$B$30+$B$31+$B$32)/$B$34</f>
        <v>118.4776629158852</v>
      </c>
      <c r="E42" s="131">
        <f>($B$6+(C7-0.14*C8)/(1+0.14)^1+(D7-0.14*D8)/(1+0.14)^2+(E7-0.14*E8)/(1+0.14)^3+(F7-0.14*F8)/(1+0.14)^4+(G7-0.14*G8)/(1+0.14)^5+((G7*(1+0.045)-0.14*G14)/(0.14-0.045))/(1+0.14)^5+$B$30+$B$31+$B$32)/$B$34</f>
        <v>120.22494959108602</v>
      </c>
      <c r="F42" s="131">
        <f>($B$6+(C7-0.14*C8)/(1+0.14)^1+(D7-0.14*D8)/(1+0.14)^2+(E7-0.14*E8)/(1+0.14)^3+(F7-0.14*F8)/(1+0.14)^4+(G7-0.14*G8)/(1+0.14)^5+((G7*(1+0.05)-0.14*G14)/(0.14-0.05))/(1+0.14)^5+$B$30+$B$31+$B$32)/$B$34</f>
        <v>122.16637923019806</v>
      </c>
    </row>
    <row r="43" spans="1:6" ht="14.25" customHeight="1">
      <c r="A43" s="130">
        <v>0.15</v>
      </c>
      <c r="B43" s="131">
        <f>($B$6+(C7-0.15*C8)/(1+0.15)^1+(D7-0.15*D8)/(1+0.15)^2+(E7-0.15*E8)/(1+0.15)^3+(F7-0.15*F8)/(1+0.15)^4+(G7-0.15*G8)/(1+0.15)^5+((G7*(1+0.03)-0.15*G14)/(0.15-0.03))/(1+0.15)^5+$B$30+$B$31+$B$32)/$B$34</f>
        <v>97.990910440588578</v>
      </c>
      <c r="C43" s="131">
        <f>($B$6+(C7-0.15*C8)/(1+0.15)^1+(D7-0.15*D8)/(1+0.15)^2+(E7-0.15*E8)/(1+0.15)^3+(F7-0.15*F8)/(1+0.15)^4+(G7-0.15*G8)/(1+0.15)^5+((G7*(1+0.035)-0.15*G14)/(0.15-0.035))/(1+0.15)^5+$B$30+$B$31+$B$32)/$B$34</f>
        <v>98.772472376029754</v>
      </c>
      <c r="D43" s="131">
        <f>($B$6+(C7-0.15*C8)/(1+0.15)^1+(D7-0.15*D8)/(1+0.15)^2+(E7-0.15*E8)/(1+0.15)^3+(F7-0.15*F8)/(1+0.15)^4+(G7-0.15*G8)/(1+0.15)^5+((G7*(1+0.04)-0.15*G14)/(0.15-0.04))/(1+0.15)^5+$B$30+$B$31+$B$32)/$B$34</f>
        <v>99.625085396511111</v>
      </c>
      <c r="E43" s="131">
        <f>($B$6+(C7-0.15*C8)/(1+0.15)^1+(D7-0.15*D8)/(1+0.15)^2+(E7-0.15*E8)/(1+0.15)^3+(F7-0.15*F8)/(1+0.15)^4+(G7-0.15*G8)/(1+0.15)^5+((G7*(1+0.045)-0.15*G14)/(0.15-0.045))/(1+0.15)^5+$B$30+$B$31+$B$32)/$B$34</f>
        <v>100.55889965703825</v>
      </c>
      <c r="F43" s="131">
        <f>($B$6+(C7-0.15*C8)/(1+0.15)^1+(D7-0.15*D8)/(1+0.15)^2+(E7-0.15*E8)/(1+0.15)^3+(F7-0.15*F8)/(1+0.15)^4+(G7-0.15*G8)/(1+0.15)^5+((G7*(1+0.05)-0.15*G14)/(0.15-0.05))/(1+0.15)^5+$B$30+$B$31+$B$32)/$B$34</f>
        <v>101.58609534361811</v>
      </c>
    </row>
    <row r="44" spans="1:6" ht="14.25" customHeight="1">
      <c r="A44" s="130">
        <v>0.16</v>
      </c>
      <c r="B44" s="131">
        <f>($B$6+(C7-0.16*C8)/(1+0.16)^1+(D7-0.16*D8)/(1+0.16)^2+(E7-0.16*E8)/(1+0.16)^3+(F7-0.16*F8)/(1+0.16)^4+(G7-0.16*G8)/(1+0.16)^5+((G7*(1+0.03)-0.16*G14)/(0.16-0.03))/(1+0.16)^5+$B$30+$B$31+$B$32)/$B$34</f>
        <v>83.384038868729476</v>
      </c>
      <c r="C44" s="131">
        <f>($B$6+(C7-0.16*C8)/(1+0.16)^1+(D7-0.16*D8)/(1+0.16)^2+(E7-0.16*E8)/(1+0.16)^3+(F7-0.16*F8)/(1+0.16)^4+(G7-0.16*G8)/(1+0.16)^5+((G7*(1+0.035)-0.16*G14)/(0.16-0.035))/(1+0.16)^5+$B$30+$B$31+$B$32)/$B$34</f>
        <v>83.718836242455225</v>
      </c>
      <c r="D44" s="131">
        <f>($B$6+(C7-0.16*C8)/(1+0.16)^1+(D7-0.16*D8)/(1+0.16)^2+(E7-0.16*E8)/(1+0.16)^3+(F7-0.16*F8)/(1+0.16)^4+(G7-0.16*G8)/(1+0.16)^5+((G7*(1+0.04)-0.16*G14)/(0.16-0.04))/(1+0.16)^5+$B$30+$B$31+$B$32)/$B$34</f>
        <v>84.081533397324776</v>
      </c>
      <c r="E44" s="131">
        <f>($B$6+(C7-0.16*C8)/(1+0.16)^1+(D7-0.16*D8)/(1+0.16)^2+(E7-0.16*E8)/(1+0.16)^3+(F7-0.16*F8)/(1+0.16)^4+(G7-0.16*G8)/(1+0.16)^5+((G7*(1+0.045)-0.16*G14)/(0.16-0.045))/(1+0.16)^5+$B$30+$B$31+$B$32)/$B$34</f>
        <v>84.475769435226482</v>
      </c>
      <c r="F44" s="131">
        <f>($B$6+(C7-0.16*C8)/(1+0.16)^1+(D7-0.16*D8)/(1+0.16)^2+(E7-0.16*E8)/(1+0.16)^3+(F7-0.16*F8)/(1+0.16)^4+(G7-0.16*G8)/(1+0.16)^5+((G7*(1+0.05)-0.16*G14)/(0.16-0.05))/(1+0.16)^5+$B$30+$B$31+$B$32)/$B$34</f>
        <v>84.905845112937399</v>
      </c>
    </row>
  </sheetData>
  <mergeCells count="4">
    <mergeCell ref="A37:A38"/>
    <mergeCell ref="A27:A28"/>
    <mergeCell ref="A3:A4"/>
    <mergeCell ref="C4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topLeftCell="A3" zoomScaleNormal="100" workbookViewId="0">
      <selection activeCell="E30" sqref="E30"/>
    </sheetView>
  </sheetViews>
  <sheetFormatPr defaultColWidth="8.6328125" defaultRowHeight="14.5"/>
  <cols>
    <col min="1" max="1" width="62.90625" bestFit="1" customWidth="1"/>
    <col min="2" max="2" width="20" customWidth="1"/>
    <col min="3" max="3" width="12" customWidth="1"/>
    <col min="4" max="4" width="10" customWidth="1"/>
    <col min="5" max="5" width="22.6328125" customWidth="1"/>
    <col min="6" max="6" width="70" customWidth="1"/>
  </cols>
  <sheetData>
    <row r="1" spans="1:6" ht="16.5" customHeight="1">
      <c r="A1" s="4"/>
    </row>
    <row r="2" spans="1:6" ht="14.25" customHeight="1">
      <c r="A2" s="164"/>
      <c r="B2" s="164"/>
      <c r="C2" s="164"/>
      <c r="D2" s="164"/>
      <c r="E2" s="164"/>
      <c r="F2" s="164"/>
    </row>
    <row r="3" spans="1:6" ht="16.5" customHeight="1">
      <c r="A3" s="172" t="s">
        <v>310</v>
      </c>
      <c r="B3" s="173"/>
      <c r="C3" s="173"/>
      <c r="D3" s="173"/>
      <c r="E3" s="173"/>
      <c r="F3" s="174"/>
    </row>
    <row r="4" spans="1:6" ht="14.25" customHeight="1">
      <c r="A4" s="128" t="s">
        <v>311</v>
      </c>
      <c r="B4" s="128" t="s">
        <v>312</v>
      </c>
      <c r="C4" s="128" t="s">
        <v>313</v>
      </c>
      <c r="D4" s="128" t="s">
        <v>314</v>
      </c>
      <c r="E4" s="128" t="s">
        <v>315</v>
      </c>
      <c r="F4" s="128" t="s">
        <v>316</v>
      </c>
    </row>
    <row r="5" spans="1:6" ht="14.25" customHeight="1">
      <c r="A5" s="7" t="s">
        <v>317</v>
      </c>
      <c r="B5" s="134">
        <v>85.71</v>
      </c>
      <c r="C5" s="100">
        <v>0.1653</v>
      </c>
      <c r="D5" s="135">
        <v>0.21970000000000001</v>
      </c>
      <c r="E5" s="136">
        <v>40.700000000000003</v>
      </c>
      <c r="F5" s="7" t="s">
        <v>318</v>
      </c>
    </row>
    <row r="6" spans="1:6" ht="14.25" customHeight="1">
      <c r="A6" s="7" t="s">
        <v>319</v>
      </c>
      <c r="B6" s="134">
        <v>85.04</v>
      </c>
      <c r="C6" s="100">
        <v>0.27429999999999999</v>
      </c>
      <c r="D6" s="135">
        <v>0.15190000000000001</v>
      </c>
      <c r="E6" s="136">
        <v>36.4</v>
      </c>
      <c r="F6" s="7" t="s">
        <v>320</v>
      </c>
    </row>
    <row r="7" spans="1:6" ht="14.25" customHeight="1">
      <c r="A7" s="7" t="s">
        <v>321</v>
      </c>
      <c r="B7" s="134">
        <v>35.18</v>
      </c>
      <c r="C7" s="100">
        <v>0.1595</v>
      </c>
      <c r="D7" s="135">
        <v>0.20530000000000001</v>
      </c>
      <c r="E7" s="136">
        <v>21.4</v>
      </c>
      <c r="F7" s="7" t="s">
        <v>322</v>
      </c>
    </row>
    <row r="8" spans="1:6" ht="14.25" customHeight="1">
      <c r="A8" s="7" t="s">
        <v>323</v>
      </c>
      <c r="B8" s="134">
        <v>24.67</v>
      </c>
      <c r="C8" s="100">
        <v>0.21249999999999999</v>
      </c>
      <c r="D8" s="135">
        <v>0.2114</v>
      </c>
      <c r="E8" s="136">
        <v>11.3</v>
      </c>
      <c r="F8" s="7" t="s">
        <v>324</v>
      </c>
    </row>
    <row r="9" spans="1:6" ht="14.25" customHeight="1">
      <c r="A9" s="7" t="s">
        <v>325</v>
      </c>
      <c r="B9" s="134">
        <v>31.59</v>
      </c>
      <c r="C9" s="100">
        <v>0.11600000000000001</v>
      </c>
      <c r="D9" s="135">
        <v>0.15490000000000001</v>
      </c>
      <c r="E9" s="136">
        <v>14.1</v>
      </c>
      <c r="F9" s="7" t="s">
        <v>326</v>
      </c>
    </row>
    <row r="10" spans="1:6" ht="14.25" customHeight="1">
      <c r="A10" s="7" t="s">
        <v>327</v>
      </c>
      <c r="B10" s="134">
        <v>47.94</v>
      </c>
      <c r="C10" s="100">
        <v>0.13139999999999999</v>
      </c>
      <c r="D10" s="135">
        <v>0.1353</v>
      </c>
      <c r="E10" s="136">
        <v>23.7</v>
      </c>
      <c r="F10" s="7" t="s">
        <v>328</v>
      </c>
    </row>
    <row r="11" spans="1:6" ht="14.25" customHeight="1">
      <c r="A11" s="155" t="s">
        <v>384</v>
      </c>
      <c r="B11" s="156">
        <f>'Cost of Capital'!B17/'Relative Valuation'!B21</f>
        <v>60.364566883099499</v>
      </c>
      <c r="C11" s="157">
        <v>0.08</v>
      </c>
      <c r="D11" s="157">
        <v>0.17699999999999999</v>
      </c>
      <c r="E11" s="158">
        <f>(53606+Actuals!O42-Actuals!M18)/Actuals!F15</f>
        <v>30.673088401995518</v>
      </c>
      <c r="F11" s="99" t="s">
        <v>385</v>
      </c>
    </row>
    <row r="13" spans="1:6" ht="14.25" customHeight="1">
      <c r="A13" s="40" t="s">
        <v>329</v>
      </c>
      <c r="B13" s="80">
        <f>MEDIAN(B5:B10)</f>
        <v>41.56</v>
      </c>
      <c r="C13" s="38">
        <f>MEDIAN(C5:C10)</f>
        <v>0.16239999999999999</v>
      </c>
      <c r="D13" s="38">
        <f>MEDIAN(D5:D10)</f>
        <v>0.18010000000000001</v>
      </c>
      <c r="E13" s="80">
        <f>MEDIAN(E5:E10)</f>
        <v>22.549999999999997</v>
      </c>
    </row>
    <row r="14" spans="1:6" ht="14.25" customHeight="1">
      <c r="A14" s="40" t="s">
        <v>330</v>
      </c>
      <c r="B14" s="80">
        <f>QUARTILE(B5:B10,1)</f>
        <v>32.487499999999997</v>
      </c>
    </row>
    <row r="15" spans="1:6" ht="14.25" customHeight="1">
      <c r="A15" s="40" t="s">
        <v>331</v>
      </c>
      <c r="B15" s="80">
        <f>QUARTILE(B5:B10,3)</f>
        <v>75.765000000000001</v>
      </c>
    </row>
    <row r="16" spans="1:6" ht="14.25" customHeight="1">
      <c r="A16" s="40"/>
      <c r="B16" s="80"/>
    </row>
    <row r="17" spans="1:3" ht="14.25" customHeight="1">
      <c r="A17" s="40" t="s">
        <v>332</v>
      </c>
      <c r="B17" s="80">
        <f>QUARTILE(E5:E10,1)</f>
        <v>15.924999999999999</v>
      </c>
      <c r="C17" s="154"/>
    </row>
    <row r="18" spans="1:3" ht="14.25" customHeight="1">
      <c r="A18" s="40" t="s">
        <v>333</v>
      </c>
      <c r="B18" s="80">
        <f>QUARTILE(E5:E10,3)</f>
        <v>33.224999999999994</v>
      </c>
    </row>
    <row r="20" spans="1:3" ht="14.25" customHeight="1">
      <c r="A20" s="40" t="s">
        <v>334</v>
      </c>
    </row>
    <row r="21" spans="1:3" ht="29">
      <c r="A21" s="106" t="s">
        <v>335</v>
      </c>
      <c r="B21" s="81">
        <f>Actuals!F25/Assumptions!D30</f>
        <v>16.445077820610191</v>
      </c>
      <c r="C21" s="87"/>
    </row>
    <row r="22" spans="1:3" ht="14.25" customHeight="1">
      <c r="A22" s="137" t="s">
        <v>336</v>
      </c>
      <c r="B22" s="138">
        <f>B13*B21</f>
        <v>683.45743422455962</v>
      </c>
    </row>
    <row r="23" spans="1:3" ht="14.25" customHeight="1">
      <c r="A23" t="s">
        <v>337</v>
      </c>
      <c r="B23" s="49">
        <f>B14*B21</f>
        <v>534.25946569707355</v>
      </c>
    </row>
    <row r="24" spans="1:3" ht="14.25" customHeight="1">
      <c r="A24" t="s">
        <v>338</v>
      </c>
      <c r="B24" s="49">
        <f>B15*B21</f>
        <v>1245.9613210785312</v>
      </c>
    </row>
    <row r="26" spans="1:3" ht="14.25" customHeight="1">
      <c r="A26" s="40" t="s">
        <v>339</v>
      </c>
    </row>
    <row r="27" spans="1:3" ht="14.25" customHeight="1">
      <c r="A27" t="s">
        <v>340</v>
      </c>
      <c r="B27" s="49">
        <f>Actuals!F15</f>
        <v>1826.0900000000001</v>
      </c>
    </row>
    <row r="28" spans="1:3" ht="14.25" customHeight="1">
      <c r="A28" t="s">
        <v>307</v>
      </c>
      <c r="B28" s="49">
        <f>-'DCF-FCFF'!K8</f>
        <v>-2518.48</v>
      </c>
    </row>
    <row r="29" spans="1:3" ht="14.25" customHeight="1">
      <c r="A29" t="s">
        <v>276</v>
      </c>
      <c r="B29" s="49">
        <f>'DCF-FCFF'!K12</f>
        <v>422.96999999999997</v>
      </c>
    </row>
    <row r="30" spans="1:3" ht="14.25" customHeight="1">
      <c r="A30" t="s">
        <v>277</v>
      </c>
      <c r="B30" s="49">
        <f>-'DCF-FCFF'!K13</f>
        <v>-131.30000000000001</v>
      </c>
    </row>
    <row r="31" spans="1:3" ht="14.25" customHeight="1">
      <c r="A31" t="s">
        <v>341</v>
      </c>
      <c r="B31" s="49">
        <f>Assumptions!D29</f>
        <v>53.985658200000003</v>
      </c>
    </row>
    <row r="32" spans="1:3" ht="14.25" customHeight="1">
      <c r="A32" s="137" t="s">
        <v>342</v>
      </c>
      <c r="B32" s="141">
        <f>(E13*$B$27+$B$28+$B$29+$B$30)/$B$31</f>
        <v>721.51606183436309</v>
      </c>
    </row>
    <row r="33" spans="1:3" ht="14.25" customHeight="1">
      <c r="A33" t="s">
        <v>343</v>
      </c>
      <c r="B33" s="49">
        <f>(B17*$B$27+$B$28+$B$29+$B$30)/$B$31</f>
        <v>497.42235522100202</v>
      </c>
      <c r="C33" s="154"/>
    </row>
    <row r="34" spans="1:3" ht="14.25" customHeight="1">
      <c r="A34" t="s">
        <v>344</v>
      </c>
      <c r="B34" s="81">
        <f>(B18*$B$27+$B$28+$B$29+$B$30)/$B$31</f>
        <v>1082.60290230193</v>
      </c>
    </row>
  </sheetData>
  <mergeCells count="2">
    <mergeCell ref="A2:F2"/>
    <mergeCell ref="A3:F3"/>
  </mergeCells>
  <pageMargins left="0.7" right="0.7" top="0.75" bottom="0.75" header="0.3" footer="0.3"/>
  <ignoredErrors>
    <ignoredError sqref="C13:D1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9"/>
  <sheetViews>
    <sheetView topLeftCell="A7" zoomScale="55" zoomScaleNormal="55" workbookViewId="0">
      <selection activeCell="F39" sqref="F39"/>
    </sheetView>
  </sheetViews>
  <sheetFormatPr defaultColWidth="8.6328125" defaultRowHeight="14.5"/>
  <cols>
    <col min="1" max="1" width="75.54296875" bestFit="1" customWidth="1"/>
    <col min="2" max="2" width="20" customWidth="1"/>
    <col min="3" max="3" width="16" customWidth="1"/>
    <col min="4" max="4" width="26" customWidth="1"/>
    <col min="5" max="5" width="14" customWidth="1"/>
    <col min="6" max="6" width="60" customWidth="1"/>
    <col min="8" max="8" width="21.90625" bestFit="1" customWidth="1"/>
    <col min="9" max="9" width="27.36328125" bestFit="1" customWidth="1"/>
  </cols>
  <sheetData>
    <row r="1" spans="1:10" ht="16.5" customHeight="1">
      <c r="A1" s="4" t="s">
        <v>345</v>
      </c>
    </row>
    <row r="2" spans="1:10">
      <c r="A2" s="164"/>
      <c r="B2" s="164"/>
      <c r="C2" s="164"/>
      <c r="D2" s="164"/>
      <c r="E2" s="164"/>
      <c r="F2" s="164"/>
    </row>
    <row r="4" spans="1:10" ht="14.25" customHeight="1">
      <c r="A4" s="128" t="s">
        <v>346</v>
      </c>
      <c r="B4" s="128" t="s">
        <v>347</v>
      </c>
      <c r="C4" s="128" t="s">
        <v>348</v>
      </c>
      <c r="D4" s="128" t="s">
        <v>349</v>
      </c>
      <c r="E4" s="128" t="s">
        <v>371</v>
      </c>
      <c r="F4" s="128" t="s">
        <v>94</v>
      </c>
      <c r="H4" s="128" t="s">
        <v>376</v>
      </c>
      <c r="I4" s="128"/>
    </row>
    <row r="5" spans="1:10" ht="14.25" customHeight="1">
      <c r="A5" s="9" t="s">
        <v>350</v>
      </c>
      <c r="B5" s="131">
        <f>MIN('DCF-FCFF'!B55:F59)</f>
        <v>83.384038868729476</v>
      </c>
      <c r="C5" s="131">
        <f>AVERAGE('DCF-FCFF'!B25,'DCF-FCFF'!B49)</f>
        <v>112.47123177128614</v>
      </c>
      <c r="D5" s="131">
        <f>MAX('DCF-FCFF'!B55:F59)</f>
        <v>181.76884496102795</v>
      </c>
      <c r="E5" s="131">
        <f>D5-B5</f>
        <v>98.384806092298476</v>
      </c>
      <c r="F5" s="143" t="s">
        <v>351</v>
      </c>
      <c r="H5" s="150" t="s">
        <v>377</v>
      </c>
      <c r="I5" s="49">
        <f>$B$8</f>
        <v>83.384038868729476</v>
      </c>
    </row>
    <row r="6" spans="1:10" ht="14.25" customHeight="1">
      <c r="A6" s="9" t="s">
        <v>372</v>
      </c>
      <c r="B6" s="131">
        <f>'Relative Valuation'!B23</f>
        <v>534.25946569707355</v>
      </c>
      <c r="C6" s="131">
        <f>'Relative Valuation'!B22</f>
        <v>683.45743422455962</v>
      </c>
      <c r="D6" s="131">
        <f>'Relative Valuation'!B24</f>
        <v>1245.9613210785312</v>
      </c>
      <c r="E6" s="131">
        <f>D6-B6</f>
        <v>711.70185538145768</v>
      </c>
      <c r="F6" s="143"/>
      <c r="H6" s="150" t="s">
        <v>378</v>
      </c>
      <c r="I6">
        <v>0</v>
      </c>
    </row>
    <row r="7" spans="1:10" ht="14.25" customHeight="1">
      <c r="A7" s="9" t="s">
        <v>373</v>
      </c>
      <c r="B7" s="131">
        <f>'Relative Valuation'!B33</f>
        <v>497.42235522100202</v>
      </c>
      <c r="C7" s="131">
        <f>'Relative Valuation'!B32</f>
        <v>721.51606183436309</v>
      </c>
      <c r="D7" s="131">
        <f>'Relative Valuation'!B34</f>
        <v>1082.60290230193</v>
      </c>
      <c r="E7" s="131">
        <f>D7-B7</f>
        <v>585.18054708092802</v>
      </c>
      <c r="F7" s="143"/>
      <c r="H7" s="150" t="s">
        <v>379</v>
      </c>
      <c r="I7">
        <v>4</v>
      </c>
    </row>
    <row r="8" spans="1:10" ht="14.25" customHeight="1">
      <c r="A8" s="9" t="s">
        <v>352</v>
      </c>
      <c r="B8" s="131">
        <f>MIN('Economic Profit'!B40:F44)</f>
        <v>83.384038868729476</v>
      </c>
      <c r="C8" s="131">
        <f>'Economic Profit'!B35</f>
        <v>118.53412168072497</v>
      </c>
      <c r="D8" s="131">
        <f>MAX('Economic Profit'!B40:F44)</f>
        <v>181.76884496102804</v>
      </c>
      <c r="E8" s="131">
        <f>D8-B8</f>
        <v>98.384806092298561</v>
      </c>
      <c r="F8" s="143" t="s">
        <v>353</v>
      </c>
    </row>
    <row r="9" spans="1:10">
      <c r="A9" s="7" t="s">
        <v>358</v>
      </c>
      <c r="B9" s="149">
        <f>'Cost of Capital'!B17</f>
        <v>992.7</v>
      </c>
      <c r="C9" s="7"/>
      <c r="D9" s="7"/>
      <c r="E9" s="7"/>
      <c r="H9" s="150" t="s">
        <v>380</v>
      </c>
      <c r="I9" t="s">
        <v>381</v>
      </c>
    </row>
    <row r="10" spans="1:10" ht="14.25" customHeight="1">
      <c r="A10" s="144"/>
      <c r="B10" s="7"/>
      <c r="C10" s="7"/>
      <c r="D10" s="7"/>
      <c r="E10" s="7"/>
      <c r="H10" s="106"/>
    </row>
    <row r="11" spans="1:10">
      <c r="J11" s="87"/>
    </row>
    <row r="12" spans="1:10" ht="14.25" customHeight="1">
      <c r="A12" s="175" t="s">
        <v>354</v>
      </c>
      <c r="B12" s="176"/>
      <c r="C12" s="176"/>
      <c r="D12" s="176"/>
    </row>
    <row r="13" spans="1:10" ht="14.25" customHeight="1">
      <c r="A13" s="128" t="s">
        <v>346</v>
      </c>
      <c r="B13" s="128" t="s">
        <v>355</v>
      </c>
      <c r="C13" s="128" t="s">
        <v>356</v>
      </c>
      <c r="D13" s="128" t="s">
        <v>374</v>
      </c>
    </row>
    <row r="14" spans="1:10" ht="14.25" customHeight="1">
      <c r="A14" s="7" t="s">
        <v>350</v>
      </c>
      <c r="B14" s="146">
        <f>C5</f>
        <v>112.47123177128614</v>
      </c>
      <c r="C14" s="145">
        <v>0.33300000000000002</v>
      </c>
      <c r="D14" s="146">
        <f>B14*C14</f>
        <v>37.452920179838287</v>
      </c>
    </row>
    <row r="15" spans="1:10" ht="14.25" customHeight="1">
      <c r="A15" s="148" t="s">
        <v>375</v>
      </c>
      <c r="B15" s="146">
        <f>C6</f>
        <v>683.45743422455962</v>
      </c>
      <c r="C15" s="145">
        <v>0.33300000000000002</v>
      </c>
      <c r="D15" s="146">
        <f t="shared" ref="D15:D16" si="0">B15*C15</f>
        <v>227.59132559677838</v>
      </c>
    </row>
    <row r="16" spans="1:10" ht="14.25" customHeight="1">
      <c r="A16" s="7" t="s">
        <v>352</v>
      </c>
      <c r="B16" s="146">
        <f>C8</f>
        <v>118.53412168072497</v>
      </c>
      <c r="C16" s="145">
        <v>0.33300000000000002</v>
      </c>
      <c r="D16" s="146">
        <f t="shared" si="0"/>
        <v>39.471862519681416</v>
      </c>
    </row>
    <row r="17" spans="1:6" ht="14.25" customHeight="1">
      <c r="A17" s="40" t="s">
        <v>357</v>
      </c>
      <c r="B17" s="146"/>
      <c r="C17" s="142">
        <v>1</v>
      </c>
      <c r="D17" s="147">
        <f t="shared" ref="D17" si="1">SUM(D14:D16)</f>
        <v>304.51610829629806</v>
      </c>
      <c r="E17" s="79"/>
    </row>
    <row r="18" spans="1:6" ht="14.25" customHeight="1">
      <c r="D18" s="2"/>
      <c r="E18" s="40"/>
      <c r="F18" s="2"/>
    </row>
    <row r="29" spans="1:6">
      <c r="F29" s="87"/>
    </row>
  </sheetData>
  <mergeCells count="2">
    <mergeCell ref="A2:F2"/>
    <mergeCell ref="A12:D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Actuals</vt:lpstr>
      <vt:lpstr>Assumptions</vt:lpstr>
      <vt:lpstr>Cost of Capital</vt:lpstr>
      <vt:lpstr>Forecast 1 (Growth-Margin)</vt:lpstr>
      <vt:lpstr>Forecast 2 (Segment-based)</vt:lpstr>
      <vt:lpstr>DCF-FCFF</vt:lpstr>
      <vt:lpstr>Economic Profit</vt:lpstr>
      <vt:lpstr>Relative Valuation</vt:lpstr>
      <vt:lpstr>Football 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Saisha Hemrajani</dc:creator>
  <cp:lastModifiedBy>Saisha Hemrajani</cp:lastModifiedBy>
  <dcterms:created xsi:type="dcterms:W3CDTF">2026-09-29T15:03:01Z</dcterms:created>
  <dcterms:modified xsi:type="dcterms:W3CDTF">2026-10-11T06:15:47Z</dcterms:modified>
</cp:coreProperties>
</file>